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CS\CS\CS\2025\SE 2025\Result\"/>
    </mc:Choice>
  </mc:AlternateContent>
  <bookViews>
    <workbookView xWindow="-120" yWindow="-120" windowWidth="19440" windowHeight="15000"/>
  </bookViews>
  <sheets>
    <sheet name="SE- 358   " sheetId="4" r:id="rId1"/>
    <sheet name="405 Rep (2)" sheetId="6" r:id="rId2"/>
  </sheets>
  <definedNames>
    <definedName name="_xlnm.Print_Titles" localSheetId="1">'405 Rep (2)'!$1:$7</definedName>
    <definedName name="_xlnm.Print_Titles" localSheetId="0">'SE- 358   '!$1:$7</definedName>
  </definedNames>
  <calcPr calcId="152511"/>
</workbook>
</file>

<file path=xl/calcChain.xml><?xml version="1.0" encoding="utf-8"?>
<calcChain xmlns="http://schemas.openxmlformats.org/spreadsheetml/2006/main">
  <c r="H92" i="4" l="1"/>
  <c r="G92" i="4" s="1"/>
  <c r="I92" i="4"/>
  <c r="J92" i="4"/>
  <c r="K92" i="4"/>
  <c r="K95" i="6" l="1"/>
  <c r="J95" i="6"/>
  <c r="H95" i="6"/>
  <c r="K94" i="6"/>
  <c r="I94" i="6"/>
  <c r="H94" i="6"/>
  <c r="J94" i="6" s="1"/>
  <c r="G94" i="6"/>
  <c r="K93" i="6"/>
  <c r="H93" i="6"/>
  <c r="K91" i="6"/>
  <c r="I91" i="6"/>
  <c r="H91" i="6"/>
  <c r="J91" i="6" s="1"/>
  <c r="G91" i="6"/>
  <c r="K90" i="6"/>
  <c r="J90" i="6"/>
  <c r="H90" i="6"/>
  <c r="K89" i="6"/>
  <c r="I89" i="6"/>
  <c r="H89" i="6"/>
  <c r="J89" i="6" s="1"/>
  <c r="G89" i="6"/>
  <c r="K88" i="6"/>
  <c r="H88" i="6"/>
  <c r="K87" i="6"/>
  <c r="I87" i="6"/>
  <c r="H87" i="6"/>
  <c r="J87" i="6" s="1"/>
  <c r="G87" i="6"/>
  <c r="K86" i="6"/>
  <c r="J86" i="6"/>
  <c r="H86" i="6"/>
  <c r="K85" i="6"/>
  <c r="I85" i="6"/>
  <c r="H85" i="6"/>
  <c r="J85" i="6" s="1"/>
  <c r="G85" i="6"/>
  <c r="K84" i="6"/>
  <c r="H84" i="6"/>
  <c r="K83" i="6"/>
  <c r="I83" i="6"/>
  <c r="H83" i="6"/>
  <c r="J83" i="6" s="1"/>
  <c r="G83" i="6"/>
  <c r="K82" i="6"/>
  <c r="J82" i="6"/>
  <c r="H82" i="6"/>
  <c r="K81" i="6"/>
  <c r="I81" i="6"/>
  <c r="H81" i="6"/>
  <c r="J81" i="6" s="1"/>
  <c r="G81" i="6"/>
  <c r="K80" i="6"/>
  <c r="H80" i="6"/>
  <c r="K79" i="6"/>
  <c r="I79" i="6"/>
  <c r="H79" i="6"/>
  <c r="J79" i="6" s="1"/>
  <c r="G79" i="6"/>
  <c r="K78" i="6"/>
  <c r="J78" i="6"/>
  <c r="H78" i="6"/>
  <c r="K77" i="6"/>
  <c r="I77" i="6"/>
  <c r="H77" i="6"/>
  <c r="J77" i="6" s="1"/>
  <c r="G77" i="6"/>
  <c r="K76" i="6"/>
  <c r="H76" i="6"/>
  <c r="K75" i="6"/>
  <c r="I75" i="6"/>
  <c r="H75" i="6"/>
  <c r="J75" i="6" s="1"/>
  <c r="G75" i="6"/>
  <c r="K74" i="6"/>
  <c r="J74" i="6"/>
  <c r="H74" i="6"/>
  <c r="K73" i="6"/>
  <c r="I73" i="6"/>
  <c r="H73" i="6"/>
  <c r="J73" i="6" s="1"/>
  <c r="G73" i="6"/>
  <c r="K72" i="6"/>
  <c r="H72" i="6"/>
  <c r="K71" i="6"/>
  <c r="I71" i="6"/>
  <c r="H71" i="6"/>
  <c r="J71" i="6" s="1"/>
  <c r="G71" i="6"/>
  <c r="K70" i="6"/>
  <c r="J70" i="6"/>
  <c r="H70" i="6"/>
  <c r="K69" i="6"/>
  <c r="I69" i="6"/>
  <c r="H69" i="6"/>
  <c r="J69" i="6" s="1"/>
  <c r="G69" i="6"/>
  <c r="K68" i="6"/>
  <c r="H68" i="6"/>
  <c r="K67" i="6"/>
  <c r="I67" i="6"/>
  <c r="H67" i="6"/>
  <c r="J67" i="6" s="1"/>
  <c r="G67" i="6"/>
  <c r="K66" i="6"/>
  <c r="J66" i="6"/>
  <c r="H66" i="6"/>
  <c r="K65" i="6"/>
  <c r="I65" i="6"/>
  <c r="H65" i="6"/>
  <c r="J65" i="6" s="1"/>
  <c r="G65" i="6"/>
  <c r="K64" i="6"/>
  <c r="H64" i="6"/>
  <c r="K63" i="6"/>
  <c r="I63" i="6"/>
  <c r="H63" i="6"/>
  <c r="J63" i="6" s="1"/>
  <c r="G63" i="6"/>
  <c r="K62" i="6"/>
  <c r="J62" i="6"/>
  <c r="H62" i="6"/>
  <c r="K61" i="6"/>
  <c r="I61" i="6"/>
  <c r="H61" i="6"/>
  <c r="J61" i="6" s="1"/>
  <c r="G61" i="6"/>
  <c r="K60" i="6"/>
  <c r="H60" i="6"/>
  <c r="K59" i="6"/>
  <c r="I59" i="6"/>
  <c r="H59" i="6"/>
  <c r="J59" i="6" s="1"/>
  <c r="G59" i="6"/>
  <c r="K58" i="6"/>
  <c r="J58" i="6"/>
  <c r="H58" i="6"/>
  <c r="K57" i="6"/>
  <c r="I57" i="6"/>
  <c r="H57" i="6"/>
  <c r="J57" i="6" s="1"/>
  <c r="G57" i="6"/>
  <c r="K56" i="6"/>
  <c r="H56" i="6"/>
  <c r="K55" i="6"/>
  <c r="I55" i="6"/>
  <c r="H55" i="6"/>
  <c r="J55" i="6" s="1"/>
  <c r="G55" i="6"/>
  <c r="K54" i="6"/>
  <c r="J54" i="6"/>
  <c r="H54" i="6"/>
  <c r="K53" i="6"/>
  <c r="I53" i="6"/>
  <c r="H53" i="6"/>
  <c r="J53" i="6" s="1"/>
  <c r="G53" i="6"/>
  <c r="K52" i="6"/>
  <c r="H52" i="6"/>
  <c r="K51" i="6"/>
  <c r="I51" i="6"/>
  <c r="H51" i="6"/>
  <c r="J51" i="6" s="1"/>
  <c r="G51" i="6"/>
  <c r="K50" i="6"/>
  <c r="J50" i="6"/>
  <c r="H50" i="6"/>
  <c r="K49" i="6"/>
  <c r="I49" i="6"/>
  <c r="H49" i="6"/>
  <c r="J49" i="6" s="1"/>
  <c r="G49" i="6"/>
  <c r="K48" i="6"/>
  <c r="H48" i="6"/>
  <c r="K47" i="6"/>
  <c r="I47" i="6"/>
  <c r="H47" i="6"/>
  <c r="J47" i="6" s="1"/>
  <c r="G47" i="6"/>
  <c r="K46" i="6"/>
  <c r="J46" i="6"/>
  <c r="H46" i="6"/>
  <c r="K45" i="6"/>
  <c r="I45" i="6"/>
  <c r="H45" i="6"/>
  <c r="J45" i="6" s="1"/>
  <c r="G45" i="6"/>
  <c r="K44" i="6"/>
  <c r="H44" i="6"/>
  <c r="K43" i="6"/>
  <c r="I43" i="6"/>
  <c r="H43" i="6"/>
  <c r="J43" i="6" s="1"/>
  <c r="G43" i="6"/>
  <c r="K42" i="6"/>
  <c r="J42" i="6"/>
  <c r="H42" i="6"/>
  <c r="K41" i="6"/>
  <c r="I41" i="6"/>
  <c r="H41" i="6"/>
  <c r="J41" i="6" s="1"/>
  <c r="G41" i="6"/>
  <c r="K40" i="6"/>
  <c r="H40" i="6"/>
  <c r="K39" i="6"/>
  <c r="I39" i="6"/>
  <c r="H39" i="6"/>
  <c r="J39" i="6" s="1"/>
  <c r="G39" i="6"/>
  <c r="K38" i="6"/>
  <c r="J38" i="6"/>
  <c r="H38" i="6"/>
  <c r="I38" i="6" s="1"/>
  <c r="G38" i="6"/>
  <c r="K37" i="6"/>
  <c r="H37" i="6"/>
  <c r="I37" i="6" s="1"/>
  <c r="K36" i="6"/>
  <c r="I36" i="6"/>
  <c r="H36" i="6"/>
  <c r="J36" i="6" s="1"/>
  <c r="G36" i="6"/>
  <c r="K35" i="6"/>
  <c r="H35" i="6"/>
  <c r="I35" i="6" s="1"/>
  <c r="K34" i="6"/>
  <c r="I34" i="6"/>
  <c r="H34" i="6"/>
  <c r="J34" i="6" s="1"/>
  <c r="G34" i="6"/>
  <c r="K33" i="6"/>
  <c r="H33" i="6"/>
  <c r="I33" i="6" s="1"/>
  <c r="K32" i="6"/>
  <c r="I32" i="6"/>
  <c r="H32" i="6"/>
  <c r="J32" i="6" s="1"/>
  <c r="G32" i="6"/>
  <c r="K31" i="6"/>
  <c r="H31" i="6"/>
  <c r="I31" i="6" s="1"/>
  <c r="K30" i="6"/>
  <c r="I30" i="6"/>
  <c r="H30" i="6"/>
  <c r="J30" i="6" s="1"/>
  <c r="G30" i="6"/>
  <c r="K29" i="6"/>
  <c r="H29" i="6"/>
  <c r="I29" i="6" s="1"/>
  <c r="K28" i="6"/>
  <c r="I28" i="6"/>
  <c r="H28" i="6"/>
  <c r="J28" i="6" s="1"/>
  <c r="G28" i="6"/>
  <c r="K27" i="6"/>
  <c r="H27" i="6"/>
  <c r="I27" i="6" s="1"/>
  <c r="K26" i="6"/>
  <c r="I26" i="6"/>
  <c r="H26" i="6"/>
  <c r="J26" i="6" s="1"/>
  <c r="G26" i="6"/>
  <c r="K25" i="6"/>
  <c r="H25" i="6"/>
  <c r="I25" i="6" s="1"/>
  <c r="K24" i="6"/>
  <c r="I24" i="6"/>
  <c r="H24" i="6"/>
  <c r="J24" i="6" s="1"/>
  <c r="G24" i="6"/>
  <c r="K23" i="6"/>
  <c r="H23" i="6"/>
  <c r="I23" i="6" s="1"/>
  <c r="K22" i="6"/>
  <c r="I22" i="6"/>
  <c r="H22" i="6"/>
  <c r="J22" i="6" s="1"/>
  <c r="G22" i="6"/>
  <c r="K21" i="6"/>
  <c r="H21" i="6"/>
  <c r="I21" i="6" s="1"/>
  <c r="K20" i="6"/>
  <c r="I20" i="6"/>
  <c r="H20" i="6"/>
  <c r="J20" i="6" s="1"/>
  <c r="G20" i="6"/>
  <c r="K19" i="6"/>
  <c r="H19" i="6"/>
  <c r="I19" i="6" s="1"/>
  <c r="K18" i="6"/>
  <c r="I18" i="6"/>
  <c r="H18" i="6"/>
  <c r="J18" i="6" s="1"/>
  <c r="G18" i="6"/>
  <c r="K17" i="6"/>
  <c r="H17" i="6"/>
  <c r="I17" i="6" s="1"/>
  <c r="K16" i="6"/>
  <c r="I16" i="6"/>
  <c r="H16" i="6"/>
  <c r="J16" i="6" s="1"/>
  <c r="G16" i="6"/>
  <c r="K15" i="6"/>
  <c r="H15" i="6"/>
  <c r="I15" i="6" s="1"/>
  <c r="K14" i="6"/>
  <c r="I14" i="6"/>
  <c r="H14" i="6"/>
  <c r="J14" i="6" s="1"/>
  <c r="G14" i="6"/>
  <c r="K13" i="6"/>
  <c r="H13" i="6"/>
  <c r="I13" i="6" s="1"/>
  <c r="K12" i="6"/>
  <c r="I12" i="6"/>
  <c r="H12" i="6"/>
  <c r="J12" i="6" s="1"/>
  <c r="G12" i="6"/>
  <c r="K11" i="6"/>
  <c r="H11" i="6"/>
  <c r="I11" i="6" s="1"/>
  <c r="K10" i="6"/>
  <c r="I10" i="6"/>
  <c r="H10" i="6"/>
  <c r="J10" i="6" s="1"/>
  <c r="G10" i="6"/>
  <c r="K9" i="6"/>
  <c r="H9" i="6"/>
  <c r="I9" i="6" s="1"/>
  <c r="K8" i="6"/>
  <c r="I8" i="6"/>
  <c r="H8" i="6"/>
  <c r="J8" i="6" s="1"/>
  <c r="G8" i="6"/>
  <c r="K95" i="4"/>
  <c r="H95" i="4"/>
  <c r="J95" i="4" s="1"/>
  <c r="K94" i="4"/>
  <c r="H94" i="4"/>
  <c r="J94" i="4" s="1"/>
  <c r="K93" i="4"/>
  <c r="H93" i="4"/>
  <c r="J93" i="4" s="1"/>
  <c r="K91" i="4"/>
  <c r="H91" i="4"/>
  <c r="J91" i="4" s="1"/>
  <c r="K90" i="4"/>
  <c r="H90" i="4"/>
  <c r="I90" i="4" s="1"/>
  <c r="K89" i="4"/>
  <c r="I89" i="4"/>
  <c r="H89" i="4"/>
  <c r="J89" i="4" s="1"/>
  <c r="H64" i="4"/>
  <c r="G64" i="4" s="1"/>
  <c r="J64" i="4"/>
  <c r="K64" i="4"/>
  <c r="H65" i="4"/>
  <c r="G65" i="4" s="1"/>
  <c r="K65" i="4"/>
  <c r="H66" i="4"/>
  <c r="G66" i="4" s="1"/>
  <c r="K66" i="4"/>
  <c r="H67" i="4"/>
  <c r="G67" i="4" s="1"/>
  <c r="K67" i="4"/>
  <c r="H68" i="4"/>
  <c r="G68" i="4" s="1"/>
  <c r="K68" i="4"/>
  <c r="H69" i="4"/>
  <c r="G69" i="4" s="1"/>
  <c r="K69" i="4"/>
  <c r="H70" i="4"/>
  <c r="G70" i="4" s="1"/>
  <c r="K70" i="4"/>
  <c r="H71" i="4"/>
  <c r="G71" i="4" s="1"/>
  <c r="K71" i="4"/>
  <c r="H72" i="4"/>
  <c r="G72" i="4" s="1"/>
  <c r="K72" i="4"/>
  <c r="H73" i="4"/>
  <c r="G73" i="4" s="1"/>
  <c r="K73" i="4"/>
  <c r="H74" i="4"/>
  <c r="G74" i="4" s="1"/>
  <c r="K74" i="4"/>
  <c r="H75" i="4"/>
  <c r="G75" i="4" s="1"/>
  <c r="K75" i="4"/>
  <c r="H76" i="4"/>
  <c r="G76" i="4" s="1"/>
  <c r="K76" i="4"/>
  <c r="H77" i="4"/>
  <c r="G77" i="4" s="1"/>
  <c r="K77" i="4"/>
  <c r="H78" i="4"/>
  <c r="G78" i="4" s="1"/>
  <c r="K78" i="4"/>
  <c r="H79" i="4"/>
  <c r="G79" i="4" s="1"/>
  <c r="K79" i="4"/>
  <c r="H80" i="4"/>
  <c r="G80" i="4" s="1"/>
  <c r="K80" i="4"/>
  <c r="H81" i="4"/>
  <c r="G81" i="4" s="1"/>
  <c r="K81" i="4"/>
  <c r="H82" i="4"/>
  <c r="G82" i="4" s="1"/>
  <c r="K82" i="4"/>
  <c r="H83" i="4"/>
  <c r="G83" i="4" s="1"/>
  <c r="K83" i="4"/>
  <c r="H84" i="4"/>
  <c r="G84" i="4" s="1"/>
  <c r="K84" i="4"/>
  <c r="H85" i="4"/>
  <c r="G85" i="4" s="1"/>
  <c r="K85" i="4"/>
  <c r="H86" i="4"/>
  <c r="G86" i="4" s="1"/>
  <c r="K86" i="4"/>
  <c r="H87" i="4"/>
  <c r="G87" i="4" s="1"/>
  <c r="K87" i="4"/>
  <c r="H88" i="4"/>
  <c r="G88" i="4" s="1"/>
  <c r="K88" i="4"/>
  <c r="G89" i="4" l="1"/>
  <c r="J9" i="6"/>
  <c r="J11" i="6"/>
  <c r="J13" i="6"/>
  <c r="J15" i="6"/>
  <c r="J17" i="6"/>
  <c r="J19" i="6"/>
  <c r="J21" i="6"/>
  <c r="J23" i="6"/>
  <c r="J25" i="6"/>
  <c r="J27" i="6"/>
  <c r="J29" i="6"/>
  <c r="J31" i="6"/>
  <c r="J33" i="6"/>
  <c r="J35" i="6"/>
  <c r="J37" i="6"/>
  <c r="I40" i="6"/>
  <c r="G40" i="6"/>
  <c r="I44" i="6"/>
  <c r="G44" i="6"/>
  <c r="I48" i="6"/>
  <c r="G48" i="6"/>
  <c r="I52" i="6"/>
  <c r="G52" i="6"/>
  <c r="I56" i="6"/>
  <c r="G56" i="6"/>
  <c r="I60" i="6"/>
  <c r="G60" i="6"/>
  <c r="I64" i="6"/>
  <c r="G64" i="6"/>
  <c r="I68" i="6"/>
  <c r="G68" i="6"/>
  <c r="I72" i="6"/>
  <c r="G72" i="6"/>
  <c r="I76" i="6"/>
  <c r="G76" i="6"/>
  <c r="I80" i="6"/>
  <c r="G80" i="6"/>
  <c r="I84" i="6"/>
  <c r="G84" i="6"/>
  <c r="I88" i="6"/>
  <c r="G88" i="6"/>
  <c r="I93" i="6"/>
  <c r="G93" i="6"/>
  <c r="G9" i="6"/>
  <c r="G11" i="6"/>
  <c r="G13" i="6"/>
  <c r="G15" i="6"/>
  <c r="G17" i="6"/>
  <c r="G19" i="6"/>
  <c r="G21" i="6"/>
  <c r="G23" i="6"/>
  <c r="G25" i="6"/>
  <c r="G27" i="6"/>
  <c r="G29" i="6"/>
  <c r="G31" i="6"/>
  <c r="G33" i="6"/>
  <c r="G35" i="6"/>
  <c r="G37" i="6"/>
  <c r="J40" i="6"/>
  <c r="I42" i="6"/>
  <c r="G42" i="6"/>
  <c r="J44" i="6"/>
  <c r="I46" i="6"/>
  <c r="G46" i="6"/>
  <c r="J48" i="6"/>
  <c r="I50" i="6"/>
  <c r="G50" i="6"/>
  <c r="J52" i="6"/>
  <c r="I54" i="6"/>
  <c r="G54" i="6"/>
  <c r="J56" i="6"/>
  <c r="I58" i="6"/>
  <c r="G58" i="6"/>
  <c r="J60" i="6"/>
  <c r="I62" i="6"/>
  <c r="G62" i="6"/>
  <c r="J64" i="6"/>
  <c r="I66" i="6"/>
  <c r="G66" i="6"/>
  <c r="J68" i="6"/>
  <c r="I70" i="6"/>
  <c r="G70" i="6"/>
  <c r="J72" i="6"/>
  <c r="I74" i="6"/>
  <c r="G74" i="6"/>
  <c r="J76" i="6"/>
  <c r="I78" i="6"/>
  <c r="G78" i="6"/>
  <c r="J80" i="6"/>
  <c r="I82" i="6"/>
  <c r="G82" i="6"/>
  <c r="J84" i="6"/>
  <c r="I86" i="6"/>
  <c r="G86" i="6"/>
  <c r="J88" i="6"/>
  <c r="I90" i="6"/>
  <c r="G90" i="6"/>
  <c r="J93" i="6"/>
  <c r="I95" i="6"/>
  <c r="G95" i="6"/>
  <c r="G94" i="4"/>
  <c r="I94" i="4"/>
  <c r="G95" i="4"/>
  <c r="I95" i="4"/>
  <c r="J86" i="4"/>
  <c r="J73" i="4"/>
  <c r="J82" i="4"/>
  <c r="J77" i="4"/>
  <c r="J69" i="4"/>
  <c r="J88" i="4"/>
  <c r="J84" i="4"/>
  <c r="J80" i="4"/>
  <c r="J78" i="4"/>
  <c r="J75" i="4"/>
  <c r="J71" i="4"/>
  <c r="J67" i="4"/>
  <c r="I88" i="4"/>
  <c r="J87" i="4"/>
  <c r="I86" i="4"/>
  <c r="J85" i="4"/>
  <c r="I84" i="4"/>
  <c r="J83" i="4"/>
  <c r="I82" i="4"/>
  <c r="J81" i="4"/>
  <c r="I80" i="4"/>
  <c r="J79" i="4"/>
  <c r="I78" i="4"/>
  <c r="I77" i="4"/>
  <c r="J76" i="4"/>
  <c r="I75" i="4"/>
  <c r="J74" i="4"/>
  <c r="I73" i="4"/>
  <c r="J72" i="4"/>
  <c r="I71" i="4"/>
  <c r="J70" i="4"/>
  <c r="I69" i="4"/>
  <c r="J68" i="4"/>
  <c r="I67" i="4"/>
  <c r="J66" i="4"/>
  <c r="J65" i="4"/>
  <c r="G91" i="4"/>
  <c r="I91" i="4"/>
  <c r="G93" i="4"/>
  <c r="I93" i="4"/>
  <c r="J90" i="4"/>
  <c r="G90" i="4"/>
  <c r="I87" i="4"/>
  <c r="I85" i="4"/>
  <c r="I83" i="4"/>
  <c r="I81" i="4"/>
  <c r="I79" i="4"/>
  <c r="I76" i="4"/>
  <c r="I74" i="4"/>
  <c r="I72" i="4"/>
  <c r="I70" i="4"/>
  <c r="I68" i="4"/>
  <c r="I66" i="4"/>
  <c r="I64" i="4"/>
  <c r="I65" i="4"/>
  <c r="H48" i="4" l="1"/>
  <c r="I48" i="4" s="1"/>
  <c r="H20" i="4"/>
  <c r="I20" i="4" s="1"/>
  <c r="K61" i="4"/>
  <c r="K59" i="4"/>
  <c r="K57" i="4"/>
  <c r="H55" i="4"/>
  <c r="I55" i="4" s="1"/>
  <c r="H53" i="4"/>
  <c r="I53" i="4" s="1"/>
  <c r="K51" i="4"/>
  <c r="K49" i="4"/>
  <c r="H46" i="4"/>
  <c r="J46" i="4"/>
  <c r="H43" i="4"/>
  <c r="G43" i="4" s="1"/>
  <c r="H41" i="4"/>
  <c r="J41" i="4"/>
  <c r="H39" i="4"/>
  <c r="J39" i="4"/>
  <c r="K36" i="4"/>
  <c r="K33" i="4"/>
  <c r="K31" i="4"/>
  <c r="K29" i="4"/>
  <c r="K27" i="4"/>
  <c r="K25" i="4"/>
  <c r="K23" i="4"/>
  <c r="K21" i="4"/>
  <c r="K19" i="4"/>
  <c r="H16" i="4"/>
  <c r="J16" i="4" s="1"/>
  <c r="H14" i="4"/>
  <c r="J14" i="4" s="1"/>
  <c r="H12" i="4"/>
  <c r="J12" i="4" s="1"/>
  <c r="K10" i="4"/>
  <c r="K9" i="4"/>
  <c r="H11" i="4"/>
  <c r="I11" i="4" s="1"/>
  <c r="K63" i="4"/>
  <c r="H63" i="4"/>
  <c r="G63" i="4" s="1"/>
  <c r="K62" i="4"/>
  <c r="H62" i="4"/>
  <c r="G62" i="4" s="1"/>
  <c r="K60" i="4"/>
  <c r="H60" i="4"/>
  <c r="I60" i="4" s="1"/>
  <c r="K58" i="4"/>
  <c r="H58" i="4"/>
  <c r="G58" i="4" s="1"/>
  <c r="K56" i="4"/>
  <c r="H56" i="4"/>
  <c r="J56" i="4" s="1"/>
  <c r="K55" i="4"/>
  <c r="K54" i="4"/>
  <c r="H54" i="4"/>
  <c r="G54" i="4" s="1"/>
  <c r="K52" i="4"/>
  <c r="H52" i="4"/>
  <c r="J52" i="4" s="1"/>
  <c r="K50" i="4"/>
  <c r="H50" i="4"/>
  <c r="I50" i="4" s="1"/>
  <c r="K48" i="4"/>
  <c r="K47" i="4"/>
  <c r="H47" i="4"/>
  <c r="J47" i="4" s="1"/>
  <c r="K45" i="4"/>
  <c r="H45" i="4"/>
  <c r="G45" i="4" s="1"/>
  <c r="K44" i="4"/>
  <c r="H44" i="4"/>
  <c r="J44" i="4" s="1"/>
  <c r="K42" i="4"/>
  <c r="H42" i="4"/>
  <c r="J42" i="4" s="1"/>
  <c r="I41" i="4"/>
  <c r="K40" i="4"/>
  <c r="H40" i="4"/>
  <c r="J40" i="4" s="1"/>
  <c r="K38" i="4"/>
  <c r="H38" i="4"/>
  <c r="I38" i="4" s="1"/>
  <c r="K37" i="4"/>
  <c r="H37" i="4"/>
  <c r="I37" i="4" s="1"/>
  <c r="K35" i="4"/>
  <c r="H35" i="4"/>
  <c r="J35" i="4" s="1"/>
  <c r="K34" i="4"/>
  <c r="H34" i="4"/>
  <c r="J34" i="4" s="1"/>
  <c r="K32" i="4"/>
  <c r="H32" i="4"/>
  <c r="J32" i="4" s="1"/>
  <c r="K30" i="4"/>
  <c r="H30" i="4"/>
  <c r="J30" i="4" s="1"/>
  <c r="K28" i="4"/>
  <c r="H28" i="4"/>
  <c r="J28" i="4" s="1"/>
  <c r="K26" i="4"/>
  <c r="H26" i="4"/>
  <c r="J26" i="4" s="1"/>
  <c r="K24" i="4"/>
  <c r="H24" i="4"/>
  <c r="J24" i="4" s="1"/>
  <c r="K22" i="4"/>
  <c r="H22" i="4"/>
  <c r="J22" i="4" s="1"/>
  <c r="K18" i="4"/>
  <c r="H18" i="4"/>
  <c r="J18" i="4" s="1"/>
  <c r="K17" i="4"/>
  <c r="H17" i="4"/>
  <c r="I17" i="4" s="1"/>
  <c r="K15" i="4"/>
  <c r="H15" i="4"/>
  <c r="I15" i="4" s="1"/>
  <c r="K14" i="4"/>
  <c r="K13" i="4"/>
  <c r="H13" i="4"/>
  <c r="I13" i="4" s="1"/>
  <c r="K11" i="4"/>
  <c r="K8" i="4"/>
  <c r="H8" i="4"/>
  <c r="J8" i="4" s="1"/>
  <c r="I56" i="4"/>
  <c r="J60" i="4"/>
  <c r="J62" i="4"/>
  <c r="J58" i="4"/>
  <c r="G42" i="4"/>
  <c r="J55" i="4"/>
  <c r="G47" i="4"/>
  <c r="G41" i="4"/>
  <c r="H9" i="4"/>
  <c r="I9" i="4" s="1"/>
  <c r="H10" i="4"/>
  <c r="G10" i="4" s="1"/>
  <c r="K12" i="4"/>
  <c r="K16" i="4"/>
  <c r="H19" i="4"/>
  <c r="I19" i="4" s="1"/>
  <c r="H21" i="4"/>
  <c r="I21" i="4" s="1"/>
  <c r="H23" i="4"/>
  <c r="G23" i="4" s="1"/>
  <c r="H25" i="4"/>
  <c r="I25" i="4" s="1"/>
  <c r="H27" i="4"/>
  <c r="G27" i="4" s="1"/>
  <c r="H29" i="4"/>
  <c r="J29" i="4" s="1"/>
  <c r="H31" i="4"/>
  <c r="J31" i="4" s="1"/>
  <c r="H33" i="4"/>
  <c r="G33" i="4" s="1"/>
  <c r="H36" i="4"/>
  <c r="G36" i="4" s="1"/>
  <c r="I39" i="4"/>
  <c r="I46" i="4"/>
  <c r="K53" i="4"/>
  <c r="G14" i="4"/>
  <c r="G19" i="4"/>
  <c r="J19" i="4"/>
  <c r="G39" i="4"/>
  <c r="J11" i="4"/>
  <c r="K20" i="4"/>
  <c r="K39" i="4"/>
  <c r="K41" i="4"/>
  <c r="K43" i="4"/>
  <c r="K46" i="4"/>
  <c r="H49" i="4"/>
  <c r="I49" i="4" s="1"/>
  <c r="H51" i="4"/>
  <c r="I51" i="4" s="1"/>
  <c r="H57" i="4"/>
  <c r="I57" i="4" s="1"/>
  <c r="H59" i="4"/>
  <c r="I59" i="4" s="1"/>
  <c r="H61" i="4"/>
  <c r="I61" i="4" s="1"/>
  <c r="I10" i="4"/>
  <c r="J15" i="4"/>
  <c r="G59" i="4"/>
  <c r="I35" i="4"/>
  <c r="J49" i="4"/>
  <c r="I45" i="4"/>
  <c r="I42" i="4"/>
  <c r="G55" i="4"/>
  <c r="I43" i="4"/>
  <c r="G46" i="4"/>
  <c r="I24" i="4"/>
  <c r="I58" i="4"/>
  <c r="I23" i="4"/>
  <c r="G13" i="4"/>
  <c r="J59" i="4"/>
  <c r="J13" i="4"/>
  <c r="G17" i="4" l="1"/>
  <c r="I12" i="4"/>
  <c r="J43" i="4"/>
  <c r="G11" i="4"/>
  <c r="J23" i="4"/>
  <c r="I14" i="4"/>
  <c r="I31" i="4"/>
  <c r="I28" i="4"/>
  <c r="I44" i="4"/>
  <c r="G29" i="4"/>
  <c r="J61" i="4"/>
  <c r="G61" i="4"/>
  <c r="G40" i="4"/>
  <c r="G12" i="4"/>
  <c r="G53" i="4"/>
  <c r="G16" i="4"/>
  <c r="I16" i="4"/>
  <c r="I40" i="4"/>
  <c r="J57" i="4"/>
  <c r="I32" i="4"/>
  <c r="G26" i="4"/>
  <c r="G32" i="4"/>
  <c r="G24" i="4"/>
  <c r="G15" i="4"/>
  <c r="G21" i="4"/>
  <c r="J53" i="4"/>
  <c r="G48" i="4"/>
  <c r="I34" i="4"/>
  <c r="I30" i="4"/>
  <c r="G57" i="4"/>
  <c r="G49" i="4"/>
  <c r="I36" i="4"/>
  <c r="I52" i="4"/>
  <c r="J45" i="4"/>
  <c r="G35" i="4"/>
  <c r="G18" i="4"/>
  <c r="I18" i="4"/>
  <c r="I33" i="4"/>
  <c r="G28" i="4"/>
  <c r="J9" i="4"/>
  <c r="G9" i="4"/>
  <c r="J10" i="4"/>
  <c r="J21" i="4"/>
  <c r="J63" i="4"/>
  <c r="G38" i="4"/>
  <c r="I62" i="4"/>
  <c r="G52" i="4"/>
  <c r="J37" i="4"/>
  <c r="I47" i="4"/>
  <c r="G25" i="4"/>
  <c r="I29" i="4"/>
  <c r="J20" i="4"/>
  <c r="J17" i="4"/>
  <c r="J27" i="4"/>
  <c r="G31" i="4"/>
  <c r="J33" i="4"/>
  <c r="J25" i="4"/>
  <c r="I22" i="4"/>
  <c r="G8" i="4"/>
  <c r="J51" i="4"/>
  <c r="G51" i="4"/>
  <c r="J36" i="4"/>
  <c r="I27" i="4"/>
  <c r="I63" i="4"/>
  <c r="J38" i="4"/>
  <c r="J50" i="4"/>
  <c r="G50" i="4"/>
  <c r="G20" i="4"/>
  <c r="I54" i="4"/>
  <c r="J48" i="4"/>
  <c r="I8" i="4"/>
  <c r="J54" i="4"/>
  <c r="G30" i="4"/>
  <c r="G44" i="4"/>
  <c r="I26" i="4"/>
  <c r="G60" i="4"/>
  <c r="G56" i="4"/>
  <c r="G37" i="4"/>
  <c r="G22" i="4"/>
  <c r="G34" i="4"/>
</calcChain>
</file>

<file path=xl/sharedStrings.xml><?xml version="1.0" encoding="utf-8"?>
<sst xmlns="http://schemas.openxmlformats.org/spreadsheetml/2006/main" count="694" uniqueCount="382">
  <si>
    <r>
      <t xml:space="preserve">                          Credit Hours</t>
    </r>
    <r>
      <rPr>
        <b/>
        <u/>
        <sz val="10"/>
        <rFont val="Arial"/>
        <family val="2"/>
      </rPr>
      <t xml:space="preserve"> 2 + 1   </t>
    </r>
  </si>
  <si>
    <t>S.#.</t>
  </si>
  <si>
    <t>Seat No.</t>
  </si>
  <si>
    <t>Enrollment No.</t>
  </si>
  <si>
    <t>Student's Name/Father's Name</t>
  </si>
  <si>
    <t>Theory</t>
  </si>
  <si>
    <t>Lab</t>
  </si>
  <si>
    <t xml:space="preserve">Total in </t>
  </si>
  <si>
    <t>Final Grade</t>
  </si>
  <si>
    <t>Remarks</t>
  </si>
  <si>
    <t>Words</t>
  </si>
  <si>
    <t>NG</t>
  </si>
  <si>
    <t>AG</t>
  </si>
  <si>
    <t>--</t>
  </si>
  <si>
    <t xml:space="preserve">               ---</t>
  </si>
  <si>
    <t>Zero</t>
  </si>
  <si>
    <t>F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</si>
  <si>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</si>
  <si>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</si>
  <si>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</si>
  <si>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</si>
  <si>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</si>
  <si>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</si>
  <si>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</si>
  <si>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</si>
  <si>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</si>
  <si>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</si>
  <si>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</si>
  <si>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</si>
  <si>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</si>
  <si>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</si>
  <si>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</si>
  <si>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</si>
  <si>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</si>
  <si>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</si>
  <si>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</si>
  <si>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 only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</si>
  <si>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</si>
  <si>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</si>
  <si>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</si>
  <si>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</si>
  <si>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</si>
  <si>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</si>
  <si>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</si>
  <si>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</si>
  <si>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</si>
  <si>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 only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</si>
  <si>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</si>
  <si>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</si>
  <si>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</si>
  <si>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</si>
  <si>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</si>
  <si>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</si>
  <si>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</si>
  <si>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</si>
  <si>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</si>
  <si>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 only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</si>
  <si>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</si>
  <si>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</si>
  <si>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</si>
  <si>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</si>
  <si>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</si>
  <si>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</si>
  <si>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</si>
  <si>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</si>
  <si>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</si>
  <si>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 only</t>
  </si>
  <si>
    <t>D</t>
  </si>
  <si>
    <t>Fifty One</t>
  </si>
  <si>
    <t>Fifty Two</t>
  </si>
  <si>
    <t>Fifty Three</t>
  </si>
  <si>
    <t>D+</t>
  </si>
  <si>
    <t>Fifty Four</t>
  </si>
  <si>
    <t>Fifty Five</t>
  </si>
  <si>
    <t>Fifty Six</t>
  </si>
  <si>
    <t>Fifty Seven</t>
  </si>
  <si>
    <t>C-</t>
  </si>
  <si>
    <t>Fifty Eight</t>
  </si>
  <si>
    <t>Fifty Nine</t>
  </si>
  <si>
    <t>Sixty only</t>
  </si>
  <si>
    <t>Sixty One</t>
  </si>
  <si>
    <t>C</t>
  </si>
  <si>
    <t>Sixty Two</t>
  </si>
  <si>
    <t>Sixty Three</t>
  </si>
  <si>
    <t>Sixty Four</t>
  </si>
  <si>
    <t>C+</t>
  </si>
  <si>
    <t>Sixty Five</t>
  </si>
  <si>
    <t>Sixty Six</t>
  </si>
  <si>
    <t>Sixty Seven</t>
  </si>
  <si>
    <t>Sixty Eight</t>
  </si>
  <si>
    <t>B-</t>
  </si>
  <si>
    <t>Sixty Nine</t>
  </si>
  <si>
    <t>Seventy only</t>
  </si>
  <si>
    <t>Seventy One</t>
  </si>
  <si>
    <t>B</t>
  </si>
  <si>
    <t>Seventy Two</t>
  </si>
  <si>
    <t>Seventy Three</t>
  </si>
  <si>
    <t>Seventy Four</t>
  </si>
  <si>
    <t>Seventy Five</t>
  </si>
  <si>
    <t>B+</t>
  </si>
  <si>
    <t>Seventy Six</t>
  </si>
  <si>
    <t>Seventy Seven</t>
  </si>
  <si>
    <t>Seventy Eight</t>
  </si>
  <si>
    <t>Seventy Nine</t>
  </si>
  <si>
    <t>Eighty only</t>
  </si>
  <si>
    <t>A-</t>
  </si>
  <si>
    <t>Eighty One</t>
  </si>
  <si>
    <t>Eighty Two</t>
  </si>
  <si>
    <t>Eighty Three</t>
  </si>
  <si>
    <t>Eighty Four</t>
  </si>
  <si>
    <t>Eighty Five</t>
  </si>
  <si>
    <t>A</t>
  </si>
  <si>
    <t>Eighty Six</t>
  </si>
  <si>
    <t>Eighty Seven</t>
  </si>
  <si>
    <t>Eighty Eight</t>
  </si>
  <si>
    <t>Eighty Nine</t>
  </si>
  <si>
    <t>Ninety only</t>
  </si>
  <si>
    <t>A+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</si>
  <si>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</si>
  <si>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</si>
  <si>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</si>
  <si>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</si>
  <si>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</si>
  <si>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</si>
  <si>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</si>
  <si>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</si>
  <si>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</si>
  <si>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One Hundred</t>
  </si>
  <si>
    <r>
      <t xml:space="preserve">Department : </t>
    </r>
    <r>
      <rPr>
        <b/>
        <sz val="10"/>
        <rFont val="Arial"/>
        <family val="2"/>
      </rPr>
      <t xml:space="preserve"> </t>
    </r>
    <r>
      <rPr>
        <b/>
        <u/>
        <sz val="10"/>
        <rFont val="Arial"/>
        <family val="2"/>
      </rPr>
      <t>Computer Science</t>
    </r>
  </si>
  <si>
    <r>
      <t xml:space="preserve">Major Department: </t>
    </r>
    <r>
      <rPr>
        <b/>
        <u/>
        <sz val="10"/>
        <rFont val="Arial"/>
        <family val="2"/>
      </rPr>
      <t xml:space="preserve">Computer Science </t>
    </r>
  </si>
  <si>
    <t>MUHAMMAD HAMZA</t>
  </si>
  <si>
    <t>MUHAMMAD TAHA</t>
  </si>
  <si>
    <r>
      <t xml:space="preserve">Class </t>
    </r>
    <r>
      <rPr>
        <b/>
        <u/>
        <sz val="10"/>
        <rFont val="Arial"/>
        <family val="2"/>
      </rPr>
      <t xml:space="preserve">        BSSE - 2nd Year</t>
    </r>
  </si>
  <si>
    <r>
      <t>Course Title:</t>
    </r>
    <r>
      <rPr>
        <sz val="9"/>
        <rFont val="Arial"/>
        <family val="2"/>
      </rPr>
      <t xml:space="preserve"> </t>
    </r>
    <r>
      <rPr>
        <b/>
        <u/>
        <sz val="9"/>
        <rFont val="Arial"/>
        <family val="2"/>
      </rPr>
      <t>Data Structures &amp; Application</t>
    </r>
  </si>
  <si>
    <r>
      <t>Teacher's Name :</t>
    </r>
    <r>
      <rPr>
        <b/>
        <u/>
        <sz val="10"/>
        <rFont val="Arial"/>
        <family val="2"/>
      </rPr>
      <t>Attiya Agha</t>
    </r>
  </si>
  <si>
    <r>
      <t xml:space="preserve">Date of Examination held </t>
    </r>
    <r>
      <rPr>
        <b/>
        <u/>
        <sz val="10"/>
        <rFont val="Arial"/>
        <family val="2"/>
      </rPr>
      <t xml:space="preserve">   08- 05- 2025</t>
    </r>
  </si>
  <si>
    <t>B22110106031</t>
  </si>
  <si>
    <t>IQRA HASNAIN</t>
  </si>
  <si>
    <t>B22110106090</t>
  </si>
  <si>
    <t>WASIYA AMIR</t>
  </si>
  <si>
    <t>B22110106068</t>
  </si>
  <si>
    <t>SADAF</t>
  </si>
  <si>
    <t>B22110106049</t>
  </si>
  <si>
    <t>MUHAMMAD  HASSAAN MUSHTAQ</t>
  </si>
  <si>
    <t>B22110106017</t>
  </si>
  <si>
    <t>ANNAS HAMEED QAZI</t>
  </si>
  <si>
    <t>B22110106028</t>
  </si>
  <si>
    <t>HUZAIFA ARAIN</t>
  </si>
  <si>
    <t>B22110106021</t>
  </si>
  <si>
    <t>DOSHAB HUSSAIN</t>
  </si>
  <si>
    <t>B22110106041</t>
  </si>
  <si>
    <t>MUHAMMAD  AMMAR HUSSAIN</t>
  </si>
  <si>
    <t>B22110106050</t>
  </si>
  <si>
    <t>MUHAMMAD HUZAIFA</t>
  </si>
  <si>
    <t>B22110106053</t>
  </si>
  <si>
    <t>MUHAMMAD MUNEEB</t>
  </si>
  <si>
    <t>B22110106089</t>
  </si>
  <si>
    <t>WARISHA  ANWER</t>
  </si>
  <si>
    <t>B22110106071</t>
  </si>
  <si>
    <t>SHEEZA RAHMAN</t>
  </si>
  <si>
    <t>B22110106003</t>
  </si>
  <si>
    <t>ABDUL MOIZ ALAM KHAN</t>
  </si>
  <si>
    <t>B22110106094</t>
  </si>
  <si>
    <t>ZOHAIB AHMED KHAN</t>
  </si>
  <si>
    <t>B22110106051</t>
  </si>
  <si>
    <t>MUHAMMAD  HUZAIM OWAIS</t>
  </si>
  <si>
    <t>B22110106091</t>
  </si>
  <si>
    <t>XAIN MUHAMMAD KHAN</t>
  </si>
  <si>
    <t>B22110106022</t>
  </si>
  <si>
    <t>FAIZ AHMED KHAN</t>
  </si>
  <si>
    <t>B22110106087</t>
  </si>
  <si>
    <t>WALI MUHAMMAD</t>
  </si>
  <si>
    <t>B22110106069</t>
  </si>
  <si>
    <t>SAMEER  AHMED</t>
  </si>
  <si>
    <t>B22110106006</t>
  </si>
  <si>
    <t>ABDUL WASI</t>
  </si>
  <si>
    <t>B22110106080</t>
  </si>
  <si>
    <t>SYED SARIM JAWAD ZAIDI</t>
  </si>
  <si>
    <t>B22110106066</t>
  </si>
  <si>
    <t>OMER AHMED SIDDIQQUI</t>
  </si>
  <si>
    <t>B22110106014</t>
  </si>
  <si>
    <t>ALYAN AHMED</t>
  </si>
  <si>
    <t>B22110106037</t>
  </si>
  <si>
    <t>MOHAMMED HUZAIFA</t>
  </si>
  <si>
    <t>B22110106081</t>
  </si>
  <si>
    <t>SYED SHAHZAIB HASAN</t>
  </si>
  <si>
    <t>B22110106018</t>
  </si>
  <si>
    <t>ARSALAN ALI</t>
  </si>
  <si>
    <t>B22110106025</t>
  </si>
  <si>
    <t>HAFIZ MUHAMMAD HASSAN IMAM</t>
  </si>
  <si>
    <t>B22110106040</t>
  </si>
  <si>
    <t>MUHAMMAD  ABDULLAH FAROOQI</t>
  </si>
  <si>
    <t>B22110106086</t>
  </si>
  <si>
    <t>WAJAHT ALI NAJFEE</t>
  </si>
  <si>
    <t>B21110106070</t>
  </si>
  <si>
    <t>SANAULLAH</t>
  </si>
  <si>
    <t>B21110106069</t>
  </si>
  <si>
    <t>SALMAN AHMED</t>
  </si>
  <si>
    <t>B20103072</t>
  </si>
  <si>
    <t>S. ANMOL ALI</t>
  </si>
  <si>
    <t>B20103047</t>
  </si>
  <si>
    <t>MUHAMMAD QASIM KHAN</t>
  </si>
  <si>
    <t>B20103032</t>
  </si>
  <si>
    <t>M.M. WARIS BAIG</t>
  </si>
  <si>
    <r>
      <t xml:space="preserve">Course No:      </t>
    </r>
    <r>
      <rPr>
        <b/>
        <sz val="10"/>
        <rFont val="Arial"/>
        <family val="2"/>
      </rPr>
      <t xml:space="preserve"> CS</t>
    </r>
    <r>
      <rPr>
        <b/>
        <u/>
        <sz val="10"/>
        <rFont val="Arial"/>
        <family val="2"/>
      </rPr>
      <t>SE - 405</t>
    </r>
  </si>
  <si>
    <r>
      <t xml:space="preserve">Year </t>
    </r>
    <r>
      <rPr>
        <b/>
        <u/>
        <sz val="10"/>
        <rFont val="Arial"/>
        <family val="2"/>
      </rPr>
      <t xml:space="preserve">    2025      </t>
    </r>
    <r>
      <rPr>
        <sz val="10"/>
        <rFont val="Arial"/>
        <family val="2"/>
      </rPr>
      <t xml:space="preserve">Semester </t>
    </r>
    <r>
      <rPr>
        <b/>
        <u/>
        <sz val="10"/>
        <rFont val="Arial"/>
        <family val="2"/>
      </rPr>
      <t xml:space="preserve">    O F R</t>
    </r>
  </si>
  <si>
    <t>B24110106001</t>
  </si>
  <si>
    <t>ABDUL REHMAN AHMED</t>
  </si>
  <si>
    <t>B24110106002</t>
  </si>
  <si>
    <t>ABDUL WASAY KHAN</t>
  </si>
  <si>
    <t>B24110106003</t>
  </si>
  <si>
    <t>ABDULLAH</t>
  </si>
  <si>
    <t>B24110106004</t>
  </si>
  <si>
    <t>ABEERA FAIZ</t>
  </si>
  <si>
    <t>B24110106005</t>
  </si>
  <si>
    <t>AFIFA</t>
  </si>
  <si>
    <t>B24110106006</t>
  </si>
  <si>
    <t>AHMED MOHIUDDIN</t>
  </si>
  <si>
    <t>B24110106007</t>
  </si>
  <si>
    <t>AHSAN ZAHEER SHAIKH</t>
  </si>
  <si>
    <t>B24110106008</t>
  </si>
  <si>
    <t>ALI YAQOOB KHAN</t>
  </si>
  <si>
    <t>B24110106009</t>
  </si>
  <si>
    <t>AMMAR AHMED</t>
  </si>
  <si>
    <t>B24110106010</t>
  </si>
  <si>
    <t>ANOUSHA FARHAN</t>
  </si>
  <si>
    <t>B24110106011</t>
  </si>
  <si>
    <t>ANUMTA NADEEM</t>
  </si>
  <si>
    <t>B24110106012</t>
  </si>
  <si>
    <t>ANUMTA TARIQ</t>
  </si>
  <si>
    <t>B24110106013</t>
  </si>
  <si>
    <t>AZAAN MEHTAB KHAN</t>
  </si>
  <si>
    <t>B24110106014</t>
  </si>
  <si>
    <t>AZWA AHMED</t>
  </si>
  <si>
    <t>B24110106015</t>
  </si>
  <si>
    <t>DUA E ZEHRA</t>
  </si>
  <si>
    <t>B24110106016</t>
  </si>
  <si>
    <t>DUA ENAM</t>
  </si>
  <si>
    <t>B24110106017</t>
  </si>
  <si>
    <t>EMAN IQBAL</t>
  </si>
  <si>
    <t>B24110106018</t>
  </si>
  <si>
    <t>EZHA FATIMA</t>
  </si>
  <si>
    <t>B24110106019</t>
  </si>
  <si>
    <t>FABHA IQBAL</t>
  </si>
  <si>
    <t>B24110106020</t>
  </si>
  <si>
    <t>FATIMA RAZA KHAN</t>
  </si>
  <si>
    <t>B24110106021</t>
  </si>
  <si>
    <t>HAFIZ HUZAIFA BIN WAQAS</t>
  </si>
  <si>
    <t>B24110106022</t>
  </si>
  <si>
    <t>HAFIZA WADIAH IQBAL</t>
  </si>
  <si>
    <t>B24110106023</t>
  </si>
  <si>
    <t>HAMMAD  RAZZAQUE</t>
  </si>
  <si>
    <t>B24110106024</t>
  </si>
  <si>
    <t>HAMMAD TAHIR</t>
  </si>
  <si>
    <t>B24110106025</t>
  </si>
  <si>
    <t>HUSNAIN WAHID</t>
  </si>
  <si>
    <t>B24110106026</t>
  </si>
  <si>
    <t>IJAZ</t>
  </si>
  <si>
    <t>B24110106027</t>
  </si>
  <si>
    <t>KAAIF AHMED KHAN</t>
  </si>
  <si>
    <t>B24110106028</t>
  </si>
  <si>
    <t>LAIBA SIDDIQUI</t>
  </si>
  <si>
    <t>B24110106029</t>
  </si>
  <si>
    <t>MANAHIL NOOR</t>
  </si>
  <si>
    <t>B24110106030</t>
  </si>
  <si>
    <t>MUHAMMAD ARHAM REHAN</t>
  </si>
  <si>
    <t>B24110106031</t>
  </si>
  <si>
    <t>MUHAMMAD ASIM KHAN</t>
  </si>
  <si>
    <t>B24110106032</t>
  </si>
  <si>
    <t>MUHAMMAD EHTAISHAM ALI</t>
  </si>
  <si>
    <t>B24110106033</t>
  </si>
  <si>
    <t>MUHAMMAD FASEEH</t>
  </si>
  <si>
    <t>B24110106034</t>
  </si>
  <si>
    <t>MUHAMMAD HADI ANSARI</t>
  </si>
  <si>
    <t>B24110106035</t>
  </si>
  <si>
    <t>B24110106036</t>
  </si>
  <si>
    <t>MUHAMMAD HAMZA SIDDIQUI</t>
  </si>
  <si>
    <t>B24110106037</t>
  </si>
  <si>
    <t>MUHAMMAD HARIS JAWAID</t>
  </si>
  <si>
    <t>B24110106038</t>
  </si>
  <si>
    <t>MUHAMMAD HUNAIN AHMED</t>
  </si>
  <si>
    <t>B24110106039</t>
  </si>
  <si>
    <t>MUHAMMAD IRTIZA KHAN</t>
  </si>
  <si>
    <t>B24110106040</t>
  </si>
  <si>
    <t>MUHAMMAD ISBAH ARFIN</t>
  </si>
  <si>
    <t>B24110106041</t>
  </si>
  <si>
    <t>MUHAMMAD JAVED</t>
  </si>
  <si>
    <t>B24110106042</t>
  </si>
  <si>
    <t>MUHAMMAD KAIF SIDDIQUI</t>
  </si>
  <si>
    <t>B24110106043</t>
  </si>
  <si>
    <t>MUHAMMAD MUBASHIRUDDIN</t>
  </si>
  <si>
    <t>B24110106044</t>
  </si>
  <si>
    <t>MUHAMMAD RAYYAN KHAN</t>
  </si>
  <si>
    <t>B24110106045</t>
  </si>
  <si>
    <t>MUHAMMAD SAAD PERVAIZ</t>
  </si>
  <si>
    <t>B24110106046</t>
  </si>
  <si>
    <t>MUHAMMAD SARIM</t>
  </si>
  <si>
    <t>B24110106047</t>
  </si>
  <si>
    <t>MUHAMMAD SHARJEEL</t>
  </si>
  <si>
    <t>B24110106048</t>
  </si>
  <si>
    <t>B24110106049</t>
  </si>
  <si>
    <t>MUHAMMAD TALHA</t>
  </si>
  <si>
    <t>B24110106050</t>
  </si>
  <si>
    <t>MUHAMMAD TALHA SHAFIQUE</t>
  </si>
  <si>
    <t>B24110106051</t>
  </si>
  <si>
    <t>MUHAMMAD TAMJEED HUSSAIN</t>
  </si>
  <si>
    <t>B24110106052</t>
  </si>
  <si>
    <t>MUHAMMAD UMER KHAN</t>
  </si>
  <si>
    <t>B24110106053</t>
  </si>
  <si>
    <t>MUHAMMAD USMAN ASIF</t>
  </si>
  <si>
    <t>B24110106054</t>
  </si>
  <si>
    <t>MUHAMMAD ZAID</t>
  </si>
  <si>
    <t>B24110106055</t>
  </si>
  <si>
    <t>MUHAMMAD ZAID BIN SHAHID</t>
  </si>
  <si>
    <t>B24110106056</t>
  </si>
  <si>
    <t>MUHAMMAD ZARRAR HADEER</t>
  </si>
  <si>
    <t>B24110106057</t>
  </si>
  <si>
    <t>MUJTABA ASIM</t>
  </si>
  <si>
    <t>B24110106058</t>
  </si>
  <si>
    <t>MUSTAFA MURTAZA</t>
  </si>
  <si>
    <t>B24110106059</t>
  </si>
  <si>
    <t>MUZNA</t>
  </si>
  <si>
    <t>B24110106060</t>
  </si>
  <si>
    <t>QURRATULAIN</t>
  </si>
  <si>
    <t>B24110106061</t>
  </si>
  <si>
    <t>RABIA FATIMA</t>
  </si>
  <si>
    <t>B24110106062</t>
  </si>
  <si>
    <t>RABIYA</t>
  </si>
  <si>
    <t>B24110106063</t>
  </si>
  <si>
    <t>RIJA E ZEHRA</t>
  </si>
  <si>
    <t>B24110106064</t>
  </si>
  <si>
    <t>SADIA AHMED</t>
  </si>
  <si>
    <t>B24110106065</t>
  </si>
  <si>
    <t>SAIF UL LLAH</t>
  </si>
  <si>
    <t>B24110106066</t>
  </si>
  <si>
    <t>SAMEER AZAM KHAN</t>
  </si>
  <si>
    <t>B24110106067</t>
  </si>
  <si>
    <t>SAMI UDDIN</t>
  </si>
  <si>
    <t>B24110106068</t>
  </si>
  <si>
    <t>SAMIA QADRI</t>
  </si>
  <si>
    <t>B24110106069</t>
  </si>
  <si>
    <t>SHAHMEER SIDDIQUI</t>
  </si>
  <si>
    <t>B24110106070</t>
  </si>
  <si>
    <t>SHARJEEL AHMED</t>
  </si>
  <si>
    <t>B24110106071</t>
  </si>
  <si>
    <t>SHEHNILA KANWAL</t>
  </si>
  <si>
    <t>B24110106072</t>
  </si>
  <si>
    <t>SYED HAMZA</t>
  </si>
  <si>
    <t>B24110106073</t>
  </si>
  <si>
    <t>SYED MOHIB</t>
  </si>
  <si>
    <t>B24110106074</t>
  </si>
  <si>
    <t>SYED MOHTASHIM ALI</t>
  </si>
  <si>
    <t>B24110106075</t>
  </si>
  <si>
    <t>SYED MUHAMMAD AREEB IQBAL</t>
  </si>
  <si>
    <t>B24110106076</t>
  </si>
  <si>
    <t>SYED SAAD BIN IRFAN</t>
  </si>
  <si>
    <t>B24110106077</t>
  </si>
  <si>
    <t>SYEDA SARA AMIR</t>
  </si>
  <si>
    <t>B24110106078</t>
  </si>
  <si>
    <t>TALHA ALI</t>
  </si>
  <si>
    <t>B24110106079</t>
  </si>
  <si>
    <t>TANZEEL MAZHAR</t>
  </si>
  <si>
    <t>B24110106080</t>
  </si>
  <si>
    <t>UMAMAH IBREEQ ZAFAR</t>
  </si>
  <si>
    <t>B24110106081</t>
  </si>
  <si>
    <t>URWA MUNAWAR</t>
  </si>
  <si>
    <t>B24110106082</t>
  </si>
  <si>
    <t>WANIYA</t>
  </si>
  <si>
    <t>B24110106083</t>
  </si>
  <si>
    <t>YUSMA MAJID</t>
  </si>
  <si>
    <r>
      <t xml:space="preserve">Year </t>
    </r>
    <r>
      <rPr>
        <b/>
        <u/>
        <sz val="10"/>
        <rFont val="Arial"/>
        <family val="2"/>
      </rPr>
      <t xml:space="preserve">    2025      </t>
    </r>
    <r>
      <rPr>
        <sz val="10"/>
        <rFont val="Arial"/>
        <family val="2"/>
      </rPr>
      <t xml:space="preserve">Semester </t>
    </r>
    <r>
      <rPr>
        <b/>
        <u/>
        <sz val="10"/>
        <rFont val="Arial"/>
        <family val="2"/>
      </rPr>
      <t xml:space="preserve">    2nd</t>
    </r>
  </si>
  <si>
    <r>
      <t xml:space="preserve">Class </t>
    </r>
    <r>
      <rPr>
        <b/>
        <u/>
        <sz val="10"/>
        <rFont val="Arial"/>
        <family val="2"/>
      </rPr>
      <t xml:space="preserve">        BSSE - 1st Year</t>
    </r>
  </si>
  <si>
    <r>
      <t xml:space="preserve">Course No:      </t>
    </r>
    <r>
      <rPr>
        <b/>
        <sz val="10"/>
        <rFont val="Arial"/>
        <family val="2"/>
      </rPr>
      <t xml:space="preserve"> </t>
    </r>
    <r>
      <rPr>
        <b/>
        <u/>
        <sz val="10"/>
        <rFont val="Arial"/>
        <family val="2"/>
      </rPr>
      <t>SE - 358</t>
    </r>
  </si>
  <si>
    <r>
      <t>Course Title:</t>
    </r>
    <r>
      <rPr>
        <sz val="9"/>
        <rFont val="Arial"/>
        <family val="2"/>
      </rPr>
      <t xml:space="preserve"> </t>
    </r>
    <r>
      <rPr>
        <b/>
        <u/>
        <sz val="9"/>
        <rFont val="Arial"/>
        <family val="2"/>
      </rPr>
      <t>Applied Physics</t>
    </r>
  </si>
  <si>
    <r>
      <t xml:space="preserve">Date of Examination held </t>
    </r>
    <r>
      <rPr>
        <b/>
        <u/>
        <sz val="10"/>
        <rFont val="Arial"/>
        <family val="2"/>
      </rPr>
      <t xml:space="preserve">   19- 11- 2025</t>
    </r>
  </si>
  <si>
    <t>B23110106060</t>
  </si>
  <si>
    <t>SAYM BIN AZIZ</t>
  </si>
  <si>
    <t>B23110106018</t>
  </si>
  <si>
    <t>FARIHA</t>
  </si>
  <si>
    <t>B23110106013</t>
  </si>
  <si>
    <t>AYESHA UBAID</t>
  </si>
  <si>
    <r>
      <t>Teacher's Name :</t>
    </r>
    <r>
      <rPr>
        <b/>
        <u/>
        <sz val="10"/>
        <rFont val="Arial"/>
        <family val="2"/>
      </rPr>
      <t>Ms. Faiza Marium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</si>
</sst>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name val="Arial"/>
    </font>
    <font>
      <u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"/>
      <name val="Times New Roman"/>
      <family val="1"/>
    </font>
    <font>
      <sz val="7"/>
      <name val="Arial"/>
      <family val="2"/>
    </font>
    <font>
      <sz val="8"/>
      <name val="Arial"/>
      <family val="2"/>
    </font>
    <font>
      <sz val="9"/>
      <name val="Arial Black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u/>
      <sz val="9"/>
      <name val="Arial"/>
      <family val="2"/>
    </font>
    <font>
      <b/>
      <sz val="11"/>
      <color rgb="FF000000"/>
      <name val="Arial MT"/>
    </font>
    <font>
      <b/>
      <sz val="10"/>
      <name val="Arial MT"/>
    </font>
    <font>
      <sz val="11"/>
      <name val="Arial"/>
      <family val="2"/>
    </font>
    <font>
      <sz val="11"/>
      <name val="Arial MT"/>
    </font>
    <font>
      <b/>
      <sz val="12"/>
      <color rgb="FF000000"/>
      <name val="Arial MT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31318"/>
      </left>
      <right style="thin">
        <color rgb="FF131318"/>
      </right>
      <top style="thin">
        <color rgb="FF131318"/>
      </top>
      <bottom style="thin">
        <color rgb="FF131318"/>
      </bottom>
      <diagonal/>
    </border>
    <border>
      <left style="thin">
        <color rgb="FF131318"/>
      </left>
      <right/>
      <top style="thin">
        <color rgb="FF131318"/>
      </top>
      <bottom style="thin">
        <color rgb="FF131318"/>
      </bottom>
      <diagonal/>
    </border>
    <border>
      <left style="thin">
        <color rgb="FF131318"/>
      </left>
      <right style="thin">
        <color rgb="FF131318"/>
      </right>
      <top style="thin">
        <color rgb="FF131318"/>
      </top>
      <bottom/>
      <diagonal/>
    </border>
    <border>
      <left style="thin">
        <color rgb="FF18181C"/>
      </left>
      <right style="thin">
        <color rgb="FF18181C"/>
      </right>
      <top style="thin">
        <color rgb="FF18181C"/>
      </top>
      <bottom/>
      <diagonal/>
    </border>
    <border>
      <left style="thin">
        <color rgb="FF18181C"/>
      </left>
      <right style="thin">
        <color rgb="FF18181C"/>
      </right>
      <top style="thin">
        <color rgb="FF18181C"/>
      </top>
      <bottom style="thin">
        <color rgb="FF18181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/>
    <xf numFmtId="0" fontId="3" fillId="0" borderId="0" xfId="0" applyFont="1"/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11" fillId="0" borderId="0" xfId="0" applyFont="1"/>
    <xf numFmtId="0" fontId="10" fillId="0" borderId="1" xfId="0" applyFont="1" applyBorder="1" applyAlignment="1">
      <alignment horizontal="center"/>
    </xf>
    <xf numFmtId="0" fontId="6" fillId="0" borderId="2" xfId="0" applyFont="1" applyBorder="1"/>
    <xf numFmtId="0" fontId="1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0" fillId="0" borderId="5" xfId="0" applyBorder="1"/>
    <xf numFmtId="0" fontId="0" fillId="0" borderId="3" xfId="0" applyBorder="1"/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 shrinkToFit="1"/>
    </xf>
    <xf numFmtId="0" fontId="18" fillId="4" borderId="1" xfId="0" applyFont="1" applyFill="1" applyBorder="1" applyAlignment="1">
      <alignment vertical="center" wrapText="1"/>
    </xf>
    <xf numFmtId="0" fontId="12" fillId="3" borderId="17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7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9" fillId="0" borderId="1" xfId="0" applyFont="1" applyBorder="1"/>
    <xf numFmtId="1" fontId="17" fillId="0" borderId="18" xfId="0" applyNumberFormat="1" applyFont="1" applyBorder="1" applyAlignment="1">
      <alignment horizontal="center" vertical="center" shrinkToFit="1"/>
    </xf>
    <xf numFmtId="0" fontId="20" fillId="4" borderId="19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20" fillId="4" borderId="1" xfId="0" applyFont="1" applyFill="1" applyBorder="1" applyAlignment="1">
      <alignment vertical="center" wrapText="1"/>
    </xf>
    <xf numFmtId="1" fontId="17" fillId="0" borderId="20" xfId="0" applyNumberFormat="1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/>
    </xf>
    <xf numFmtId="0" fontId="20" fillId="4" borderId="21" xfId="0" applyFont="1" applyFill="1" applyBorder="1" applyAlignment="1">
      <alignment vertical="center" wrapText="1"/>
    </xf>
    <xf numFmtId="0" fontId="20" fillId="4" borderId="22" xfId="0" applyFont="1" applyFill="1" applyBorder="1" applyAlignment="1">
      <alignment vertical="center" wrapText="1"/>
    </xf>
    <xf numFmtId="1" fontId="21" fillId="0" borderId="18" xfId="0" applyNumberFormat="1" applyFont="1" applyBorder="1" applyAlignment="1">
      <alignment horizontal="center" vertical="center" shrinkToFit="1"/>
    </xf>
    <xf numFmtId="0" fontId="19" fillId="4" borderId="22" xfId="0" applyFont="1" applyFill="1" applyBorder="1" applyAlignment="1">
      <alignment vertical="center" wrapText="1"/>
    </xf>
    <xf numFmtId="0" fontId="10" fillId="0" borderId="2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7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2"/>
  <sheetViews>
    <sheetView tabSelected="1" showWhiteSpace="0" view="pageLayout" topLeftCell="A76" zoomScale="115" zoomScalePageLayoutView="115" workbookViewId="0">
      <selection activeCell="D92" sqref="D92"/>
    </sheetView>
  </sheetViews>
  <sheetFormatPr defaultRowHeight="12.75"/>
  <cols>
    <col min="1" max="1" width="4.5703125" customWidth="1"/>
    <col min="2" max="2" width="15.28515625" customWidth="1"/>
    <col min="3" max="3" width="0.5703125" hidden="1" customWidth="1"/>
    <col min="4" max="4" width="30.42578125" customWidth="1"/>
    <col min="5" max="6" width="4.28515625" customWidth="1"/>
    <col min="7" max="7" width="10.85546875" customWidth="1"/>
    <col min="8" max="8" width="4.28515625" customWidth="1"/>
    <col min="9" max="9" width="5.140625" style="3" customWidth="1"/>
    <col min="10" max="10" width="2.140625" hidden="1" customWidth="1"/>
    <col min="11" max="11" width="12.42578125" customWidth="1"/>
    <col min="12" max="12" width="9.140625" style="11" customWidth="1"/>
    <col min="13" max="13" width="9.140625" style="16" customWidth="1"/>
    <col min="14" max="14" width="9.140625" style="17" customWidth="1"/>
  </cols>
  <sheetData>
    <row r="1" spans="1:41" ht="13.5" customHeight="1">
      <c r="A1" s="58" t="s">
        <v>128</v>
      </c>
      <c r="B1" s="59"/>
      <c r="C1" s="59"/>
      <c r="D1" s="59"/>
      <c r="F1" s="58" t="s">
        <v>371</v>
      </c>
      <c r="G1" s="60"/>
      <c r="H1" s="60"/>
      <c r="I1" s="60"/>
      <c r="J1" s="60"/>
      <c r="K1" s="60"/>
    </row>
    <row r="2" spans="1:41" ht="13.5" customHeight="1">
      <c r="A2" s="58" t="s">
        <v>129</v>
      </c>
      <c r="B2" s="60"/>
      <c r="C2" s="60"/>
      <c r="D2" s="60"/>
      <c r="F2" s="58" t="s">
        <v>370</v>
      </c>
      <c r="G2" s="60"/>
      <c r="H2" s="60"/>
      <c r="I2" s="60"/>
      <c r="J2" s="60"/>
      <c r="K2" s="60"/>
    </row>
    <row r="3" spans="1:41" ht="13.5" customHeight="1">
      <c r="A3" s="58" t="s">
        <v>381</v>
      </c>
      <c r="B3" s="60"/>
      <c r="C3" s="60"/>
      <c r="D3" s="60"/>
      <c r="F3" s="58" t="s">
        <v>374</v>
      </c>
      <c r="G3" s="60"/>
      <c r="H3" s="60"/>
      <c r="I3" s="60"/>
      <c r="J3" s="60"/>
      <c r="K3" s="60"/>
    </row>
    <row r="4" spans="1:41" ht="14.1" customHeight="1" thickBot="1">
      <c r="A4" s="58" t="s">
        <v>372</v>
      </c>
      <c r="B4" s="60"/>
      <c r="C4" s="60"/>
      <c r="D4" s="60"/>
      <c r="E4" s="63" t="s">
        <v>373</v>
      </c>
      <c r="F4" s="64"/>
      <c r="G4" s="64"/>
      <c r="H4" s="64"/>
      <c r="I4" s="64"/>
      <c r="J4" s="64"/>
      <c r="K4" s="64"/>
    </row>
    <row r="5" spans="1:41" ht="15" customHeight="1" thickBot="1">
      <c r="A5" s="27"/>
      <c r="B5" s="28"/>
      <c r="C5" s="28"/>
      <c r="D5" s="65" t="s">
        <v>0</v>
      </c>
      <c r="E5" s="65"/>
      <c r="F5" s="28"/>
      <c r="G5" s="66"/>
      <c r="H5" s="66"/>
      <c r="I5" s="66"/>
      <c r="J5" s="66"/>
      <c r="K5" s="67"/>
    </row>
    <row r="6" spans="1:41" ht="14.1" customHeight="1">
      <c r="A6" s="29" t="s">
        <v>1</v>
      </c>
      <c r="B6" s="30" t="s">
        <v>2</v>
      </c>
      <c r="C6" s="31" t="s">
        <v>3</v>
      </c>
      <c r="D6" s="30" t="s">
        <v>4</v>
      </c>
      <c r="E6" s="31" t="s">
        <v>5</v>
      </c>
      <c r="F6" s="30" t="s">
        <v>6</v>
      </c>
      <c r="G6" s="31" t="s">
        <v>7</v>
      </c>
      <c r="H6" s="68" t="s">
        <v>8</v>
      </c>
      <c r="I6" s="69"/>
      <c r="J6" s="70"/>
      <c r="K6" s="32" t="s">
        <v>9</v>
      </c>
    </row>
    <row r="7" spans="1:41" ht="14.1" customHeight="1" thickBot="1">
      <c r="A7" s="33"/>
      <c r="B7" s="34"/>
      <c r="C7" s="35"/>
      <c r="D7" s="34"/>
      <c r="E7" s="35">
        <v>80</v>
      </c>
      <c r="F7" s="34">
        <v>20</v>
      </c>
      <c r="G7" s="35" t="s">
        <v>10</v>
      </c>
      <c r="H7" s="34" t="s">
        <v>11</v>
      </c>
      <c r="I7" s="61" t="s">
        <v>12</v>
      </c>
      <c r="J7" s="62"/>
      <c r="K7" s="36"/>
    </row>
    <row r="8" spans="1:41" s="7" customFormat="1" ht="18" customHeight="1">
      <c r="A8" s="12">
        <v>1</v>
      </c>
      <c r="B8" s="55" t="s">
        <v>206</v>
      </c>
      <c r="D8" s="56" t="s">
        <v>207</v>
      </c>
      <c r="E8" s="23">
        <v>40</v>
      </c>
      <c r="F8" s="23">
        <v>7.75</v>
      </c>
      <c r="G8" s="5" t="str">
        <f t="shared" ref="G8:G38" si="0">VLOOKUP(H8,$B$151:$C$252,2,TRUE)</f>
        <v>Forty Seven</v>
      </c>
      <c r="H8" s="6">
        <f t="shared" ref="H8:H57" si="1">SUM(E8:F8)</f>
        <v>47.75</v>
      </c>
      <c r="I8" s="6" t="str">
        <f t="shared" ref="I8:I38" si="2">VLOOKUP(H8,$F$151:$G$252,2,TRUE)</f>
        <v>F</v>
      </c>
      <c r="J8" s="8" t="str">
        <f t="shared" ref="J8:J57" si="3">IF(H8&gt;=90,"+",IF(H8&gt;=84,"-",IF(H8&gt;=75,"+",IF(H8&gt;=68,"-",IF(H8&gt;=64,"+",IF(H8&gt;=57,"-",IF(H8&gt;=53,"+"," ")))))))</f>
        <v xml:space="preserve"> </v>
      </c>
      <c r="K8" s="9" t="str">
        <f t="shared" ref="K8:K57" si="4">IF(AND(E8&lt;40,F8&lt;10),"Fail in Th. &amp; Pr.", IF(E8&lt;40,"Fail in Theory",IF(F8&lt;10,"Fail in Pract.", "Passes")))</f>
        <v>Fail in Pract.</v>
      </c>
      <c r="L8" s="18"/>
      <c r="M8" s="19"/>
      <c r="N8" s="14"/>
      <c r="O8" s="1"/>
      <c r="P8" s="1"/>
      <c r="Q8" s="1"/>
      <c r="R8" s="1"/>
      <c r="S8" s="1"/>
      <c r="T8" s="1"/>
      <c r="U8" s="21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s="7" customFormat="1" ht="18" customHeight="1">
      <c r="A9" s="12">
        <v>2</v>
      </c>
      <c r="B9" s="55" t="s">
        <v>208</v>
      </c>
      <c r="D9" s="56" t="s">
        <v>209</v>
      </c>
      <c r="E9" s="23">
        <v>32</v>
      </c>
      <c r="F9" s="23">
        <v>3.5</v>
      </c>
      <c r="G9" s="5" t="str">
        <f t="shared" si="0"/>
        <v>Thirty Five</v>
      </c>
      <c r="H9" s="6">
        <f t="shared" si="1"/>
        <v>35.5</v>
      </c>
      <c r="I9" s="6" t="str">
        <f t="shared" si="2"/>
        <v>F</v>
      </c>
      <c r="J9" s="8" t="str">
        <f t="shared" si="3"/>
        <v xml:space="preserve"> </v>
      </c>
      <c r="K9" s="9" t="str">
        <f t="shared" si="4"/>
        <v>Fail in Th. &amp; Pr.</v>
      </c>
      <c r="L9" s="18"/>
      <c r="M9" s="19"/>
      <c r="N9" s="14"/>
      <c r="O9" s="1"/>
      <c r="P9" s="1"/>
      <c r="Q9" s="1"/>
      <c r="R9" s="1"/>
      <c r="S9" s="1"/>
      <c r="T9" s="1"/>
      <c r="U9" s="21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s="7" customFormat="1" ht="18" customHeight="1">
      <c r="A10" s="12">
        <v>3</v>
      </c>
      <c r="B10" s="55" t="s">
        <v>210</v>
      </c>
      <c r="D10" s="56" t="s">
        <v>211</v>
      </c>
      <c r="E10" s="23">
        <v>78</v>
      </c>
      <c r="F10" s="23">
        <v>10</v>
      </c>
      <c r="G10" s="5" t="str">
        <f t="shared" si="0"/>
        <v>Eighty Eight</v>
      </c>
      <c r="H10" s="6">
        <f t="shared" si="1"/>
        <v>88</v>
      </c>
      <c r="I10" s="6" t="str">
        <f t="shared" si="2"/>
        <v>A</v>
      </c>
      <c r="J10" s="8" t="str">
        <f t="shared" si="3"/>
        <v>-</v>
      </c>
      <c r="K10" s="9" t="str">
        <f t="shared" si="4"/>
        <v>Passes</v>
      </c>
      <c r="L10" s="18"/>
      <c r="M10" s="19"/>
      <c r="N10" s="14"/>
      <c r="O10" s="1"/>
      <c r="P10" s="1"/>
      <c r="Q10" s="1"/>
      <c r="R10" s="1"/>
      <c r="S10" s="1"/>
      <c r="T10" s="1"/>
      <c r="U10" s="21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s="7" customFormat="1" ht="18" customHeight="1">
      <c r="A11" s="12">
        <v>4</v>
      </c>
      <c r="B11" s="55" t="s">
        <v>212</v>
      </c>
      <c r="D11" s="56" t="s">
        <v>213</v>
      </c>
      <c r="E11" s="23">
        <v>73</v>
      </c>
      <c r="F11" s="23">
        <v>10</v>
      </c>
      <c r="G11" s="5" t="str">
        <f t="shared" si="0"/>
        <v>Eighty Three</v>
      </c>
      <c r="H11" s="6">
        <f t="shared" si="1"/>
        <v>83</v>
      </c>
      <c r="I11" s="6" t="str">
        <f t="shared" si="2"/>
        <v>A-</v>
      </c>
      <c r="J11" s="8" t="str">
        <f t="shared" si="3"/>
        <v>+</v>
      </c>
      <c r="K11" s="9" t="str">
        <f t="shared" si="4"/>
        <v>Passes</v>
      </c>
      <c r="L11" s="18"/>
      <c r="M11" s="19"/>
      <c r="N11" s="14"/>
      <c r="O11" s="1"/>
      <c r="P11" s="1"/>
      <c r="Q11" s="1"/>
      <c r="R11" s="1"/>
      <c r="S11" s="1"/>
      <c r="T11" s="1"/>
      <c r="U11" s="21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s="7" customFormat="1" ht="18" customHeight="1">
      <c r="A12" s="12">
        <v>5</v>
      </c>
      <c r="B12" s="55" t="s">
        <v>214</v>
      </c>
      <c r="D12" s="56" t="s">
        <v>215</v>
      </c>
      <c r="E12" s="23">
        <v>68</v>
      </c>
      <c r="F12" s="23">
        <v>12</v>
      </c>
      <c r="G12" s="5" t="str">
        <f t="shared" si="0"/>
        <v>Eighty only</v>
      </c>
      <c r="H12" s="6">
        <f t="shared" si="1"/>
        <v>80</v>
      </c>
      <c r="I12" s="6" t="str">
        <f t="shared" si="2"/>
        <v>A-</v>
      </c>
      <c r="J12" s="8" t="str">
        <f t="shared" si="3"/>
        <v>+</v>
      </c>
      <c r="K12" s="9" t="str">
        <f t="shared" si="4"/>
        <v>Passes</v>
      </c>
      <c r="L12" s="18"/>
      <c r="M12" s="19"/>
      <c r="N12" s="14"/>
      <c r="O12" s="1"/>
      <c r="P12" s="1"/>
      <c r="Q12" s="1"/>
      <c r="R12" s="1"/>
      <c r="S12" s="1"/>
      <c r="T12" s="1"/>
      <c r="U12" s="21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s="7" customFormat="1" ht="18" customHeight="1">
      <c r="A13" s="12">
        <v>6</v>
      </c>
      <c r="B13" s="55" t="s">
        <v>216</v>
      </c>
      <c r="D13" s="56" t="s">
        <v>217</v>
      </c>
      <c r="E13" s="23">
        <v>38</v>
      </c>
      <c r="F13" s="23">
        <v>8.5</v>
      </c>
      <c r="G13" s="5" t="str">
        <f t="shared" si="0"/>
        <v>Forty Six</v>
      </c>
      <c r="H13" s="6">
        <f t="shared" si="1"/>
        <v>46.5</v>
      </c>
      <c r="I13" s="6" t="str">
        <f t="shared" si="2"/>
        <v>F</v>
      </c>
      <c r="J13" s="8" t="str">
        <f t="shared" si="3"/>
        <v xml:space="preserve"> </v>
      </c>
      <c r="K13" s="9" t="str">
        <f t="shared" si="4"/>
        <v>Fail in Th. &amp; Pr.</v>
      </c>
      <c r="L13" s="18"/>
      <c r="M13" s="19"/>
      <c r="N13" s="14"/>
      <c r="O13" s="1"/>
      <c r="P13" s="1"/>
      <c r="Q13" s="1"/>
      <c r="R13" s="1"/>
      <c r="S13" s="1"/>
      <c r="T13" s="1"/>
      <c r="U13" s="21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s="7" customFormat="1" ht="18" customHeight="1">
      <c r="A14" s="12">
        <v>7</v>
      </c>
      <c r="B14" s="55" t="s">
        <v>218</v>
      </c>
      <c r="D14" s="56" t="s">
        <v>219</v>
      </c>
      <c r="E14" s="23">
        <v>75</v>
      </c>
      <c r="F14" s="23">
        <v>14.75</v>
      </c>
      <c r="G14" s="5" t="str">
        <f t="shared" si="0"/>
        <v>Eighty Nine</v>
      </c>
      <c r="H14" s="6">
        <f t="shared" si="1"/>
        <v>89.75</v>
      </c>
      <c r="I14" s="6" t="str">
        <f t="shared" si="2"/>
        <v>A</v>
      </c>
      <c r="J14" s="8" t="str">
        <f t="shared" si="3"/>
        <v>-</v>
      </c>
      <c r="K14" s="9" t="str">
        <f t="shared" si="4"/>
        <v>Passes</v>
      </c>
      <c r="L14" s="18"/>
      <c r="M14" s="19"/>
      <c r="N14" s="14"/>
      <c r="O14" s="1"/>
      <c r="P14" s="1"/>
      <c r="Q14" s="1"/>
      <c r="R14" s="1"/>
      <c r="S14" s="1"/>
      <c r="T14" s="1"/>
      <c r="U14" s="21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s="7" customFormat="1" ht="18" customHeight="1">
      <c r="A15" s="12">
        <v>8</v>
      </c>
      <c r="B15" s="55" t="s">
        <v>220</v>
      </c>
      <c r="D15" s="56" t="s">
        <v>221</v>
      </c>
      <c r="E15" s="23">
        <v>64</v>
      </c>
      <c r="F15" s="23">
        <v>10.5</v>
      </c>
      <c r="G15" s="5" t="str">
        <f t="shared" si="0"/>
        <v>Seventy Four</v>
      </c>
      <c r="H15" s="6">
        <f t="shared" si="1"/>
        <v>74.5</v>
      </c>
      <c r="I15" s="6" t="str">
        <f t="shared" si="2"/>
        <v>B</v>
      </c>
      <c r="J15" s="8" t="str">
        <f t="shared" si="3"/>
        <v>-</v>
      </c>
      <c r="K15" s="9" t="str">
        <f t="shared" si="4"/>
        <v>Passes</v>
      </c>
      <c r="L15" s="18"/>
      <c r="M15" s="19"/>
      <c r="N15" s="14"/>
      <c r="O15" s="1"/>
      <c r="P15" s="1"/>
      <c r="Q15" s="1"/>
      <c r="R15" s="1"/>
      <c r="S15" s="1"/>
      <c r="T15" s="1"/>
      <c r="U15" s="21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s="7" customFormat="1" ht="18" customHeight="1">
      <c r="A16" s="12">
        <v>9</v>
      </c>
      <c r="B16" s="55" t="s">
        <v>222</v>
      </c>
      <c r="D16" s="56" t="s">
        <v>223</v>
      </c>
      <c r="E16" s="23">
        <v>54</v>
      </c>
      <c r="F16" s="23">
        <v>10.75</v>
      </c>
      <c r="G16" s="5" t="str">
        <f t="shared" si="0"/>
        <v>Sixty Four</v>
      </c>
      <c r="H16" s="6">
        <f t="shared" si="1"/>
        <v>64.75</v>
      </c>
      <c r="I16" s="6" t="str">
        <f t="shared" si="2"/>
        <v>C+</v>
      </c>
      <c r="J16" s="8" t="str">
        <f t="shared" si="3"/>
        <v>+</v>
      </c>
      <c r="K16" s="9" t="str">
        <f t="shared" si="4"/>
        <v>Passes</v>
      </c>
      <c r="L16" s="18"/>
      <c r="M16" s="19"/>
      <c r="N16" s="14"/>
      <c r="O16" s="1"/>
      <c r="P16" s="1"/>
      <c r="Q16" s="1"/>
      <c r="R16" s="1"/>
      <c r="S16" s="1"/>
      <c r="T16" s="1"/>
      <c r="U16" s="21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s="7" customFormat="1" ht="18" customHeight="1">
      <c r="A17" s="12">
        <v>10</v>
      </c>
      <c r="B17" s="55" t="s">
        <v>224</v>
      </c>
      <c r="D17" s="56" t="s">
        <v>225</v>
      </c>
      <c r="E17" s="23">
        <v>44</v>
      </c>
      <c r="F17" s="23">
        <v>5.75</v>
      </c>
      <c r="G17" s="5" t="str">
        <f t="shared" si="0"/>
        <v>Forty Nine</v>
      </c>
      <c r="H17" s="6">
        <f t="shared" si="1"/>
        <v>49.75</v>
      </c>
      <c r="I17" s="6" t="str">
        <f t="shared" si="2"/>
        <v>F</v>
      </c>
      <c r="J17" s="8" t="str">
        <f t="shared" si="3"/>
        <v xml:space="preserve"> </v>
      </c>
      <c r="K17" s="9" t="str">
        <f t="shared" si="4"/>
        <v>Fail in Pract.</v>
      </c>
      <c r="L17" s="18"/>
      <c r="M17" s="19"/>
      <c r="N17" s="22"/>
      <c r="O17" s="1"/>
      <c r="P17" s="1"/>
      <c r="Q17" s="1"/>
      <c r="R17" s="1"/>
      <c r="S17" s="1"/>
      <c r="T17" s="1"/>
      <c r="U17" s="21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s="7" customFormat="1" ht="18" customHeight="1">
      <c r="A18" s="12">
        <v>11</v>
      </c>
      <c r="B18" s="55" t="s">
        <v>226</v>
      </c>
      <c r="D18" s="56" t="s">
        <v>227</v>
      </c>
      <c r="E18" s="23">
        <v>65</v>
      </c>
      <c r="F18" s="23">
        <v>10</v>
      </c>
      <c r="G18" s="5" t="str">
        <f t="shared" si="0"/>
        <v>Seventy Five</v>
      </c>
      <c r="H18" s="6">
        <f t="shared" si="1"/>
        <v>75</v>
      </c>
      <c r="I18" s="6" t="str">
        <f t="shared" si="2"/>
        <v>B+</v>
      </c>
      <c r="J18" s="8" t="str">
        <f t="shared" si="3"/>
        <v>+</v>
      </c>
      <c r="K18" s="9" t="str">
        <f t="shared" si="4"/>
        <v>Passes</v>
      </c>
      <c r="L18" s="18"/>
      <c r="M18" s="19"/>
      <c r="N18" s="14"/>
      <c r="O18" s="1"/>
      <c r="P18" s="1"/>
      <c r="Q18" s="1"/>
      <c r="R18" s="1"/>
      <c r="S18" s="1"/>
      <c r="T18" s="1"/>
      <c r="U18" s="21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s="7" customFormat="1" ht="18" customHeight="1">
      <c r="A19" s="12">
        <v>12</v>
      </c>
      <c r="B19" s="55" t="s">
        <v>228</v>
      </c>
      <c r="D19" s="56" t="s">
        <v>229</v>
      </c>
      <c r="E19" s="23">
        <v>67</v>
      </c>
      <c r="F19" s="23">
        <v>11</v>
      </c>
      <c r="G19" s="5" t="str">
        <f t="shared" si="0"/>
        <v>Seventy Eight</v>
      </c>
      <c r="H19" s="6">
        <f t="shared" si="1"/>
        <v>78</v>
      </c>
      <c r="I19" s="6" t="str">
        <f t="shared" si="2"/>
        <v>B+</v>
      </c>
      <c r="J19" s="8" t="str">
        <f t="shared" si="3"/>
        <v>+</v>
      </c>
      <c r="K19" s="9" t="str">
        <f t="shared" si="4"/>
        <v>Passes</v>
      </c>
      <c r="L19" s="18"/>
      <c r="M19" s="19"/>
      <c r="N19" s="14"/>
      <c r="O19" s="1"/>
      <c r="P19" s="1"/>
      <c r="Q19" s="1"/>
      <c r="R19" s="1"/>
      <c r="S19" s="1"/>
      <c r="T19" s="1"/>
      <c r="U19" s="21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s="7" customFormat="1" ht="18" customHeight="1">
      <c r="A20" s="12">
        <v>13</v>
      </c>
      <c r="B20" s="55" t="s">
        <v>230</v>
      </c>
      <c r="D20" s="56" t="s">
        <v>231</v>
      </c>
      <c r="E20" s="23">
        <v>68.5</v>
      </c>
      <c r="F20" s="23">
        <v>11.5</v>
      </c>
      <c r="G20" s="5" t="str">
        <f t="shared" si="0"/>
        <v>Eighty only</v>
      </c>
      <c r="H20" s="6">
        <f t="shared" si="1"/>
        <v>80</v>
      </c>
      <c r="I20" s="6" t="str">
        <f t="shared" si="2"/>
        <v>A-</v>
      </c>
      <c r="J20" s="8" t="str">
        <f t="shared" si="3"/>
        <v>+</v>
      </c>
      <c r="K20" s="9" t="str">
        <f t="shared" si="4"/>
        <v>Passes</v>
      </c>
      <c r="L20" s="18"/>
      <c r="M20" s="19"/>
      <c r="N20" s="14"/>
      <c r="O20" s="1"/>
      <c r="P20" s="1"/>
      <c r="Q20" s="1"/>
      <c r="R20" s="1"/>
      <c r="S20" s="1"/>
      <c r="T20" s="1"/>
      <c r="U20" s="21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s="7" customFormat="1" ht="18" customHeight="1">
      <c r="A21" s="12">
        <v>14</v>
      </c>
      <c r="B21" s="55" t="s">
        <v>232</v>
      </c>
      <c r="D21" s="56" t="s">
        <v>233</v>
      </c>
      <c r="E21" s="23">
        <v>74</v>
      </c>
      <c r="F21" s="23">
        <v>10</v>
      </c>
      <c r="G21" s="5" t="str">
        <f t="shared" si="0"/>
        <v>Eighty Four</v>
      </c>
      <c r="H21" s="6">
        <f t="shared" si="1"/>
        <v>84</v>
      </c>
      <c r="I21" s="6" t="str">
        <f t="shared" si="2"/>
        <v>A-</v>
      </c>
      <c r="J21" s="8" t="str">
        <f t="shared" si="3"/>
        <v>-</v>
      </c>
      <c r="K21" s="9" t="str">
        <f t="shared" si="4"/>
        <v>Passes</v>
      </c>
      <c r="L21" s="18"/>
      <c r="M21" s="19"/>
      <c r="N21" s="14"/>
      <c r="O21" s="1"/>
      <c r="P21" s="1"/>
      <c r="Q21" s="1"/>
      <c r="R21" s="1"/>
      <c r="S21" s="1"/>
      <c r="T21" s="1"/>
      <c r="U21" s="21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s="7" customFormat="1" ht="18" customHeight="1">
      <c r="A22" s="12">
        <v>15</v>
      </c>
      <c r="B22" s="55" t="s">
        <v>234</v>
      </c>
      <c r="D22" s="56" t="s">
        <v>235</v>
      </c>
      <c r="E22" s="23">
        <v>74.5</v>
      </c>
      <c r="F22" s="23">
        <v>11.5</v>
      </c>
      <c r="G22" s="5" t="str">
        <f t="shared" si="0"/>
        <v>Eighty Six</v>
      </c>
      <c r="H22" s="6">
        <f t="shared" si="1"/>
        <v>86</v>
      </c>
      <c r="I22" s="6" t="str">
        <f t="shared" si="2"/>
        <v>A</v>
      </c>
      <c r="J22" s="8" t="str">
        <f t="shared" si="3"/>
        <v>-</v>
      </c>
      <c r="K22" s="9" t="str">
        <f t="shared" si="4"/>
        <v>Passes</v>
      </c>
      <c r="L22" s="18"/>
      <c r="M22" s="19"/>
      <c r="N22" s="14"/>
      <c r="O22" s="1"/>
      <c r="P22" s="1"/>
      <c r="Q22" s="1"/>
      <c r="R22" s="1"/>
      <c r="S22" s="1"/>
      <c r="T22" s="1"/>
      <c r="U22" s="21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s="7" customFormat="1" ht="18" customHeight="1">
      <c r="A23" s="12">
        <v>16</v>
      </c>
      <c r="B23" s="55" t="s">
        <v>236</v>
      </c>
      <c r="D23" s="56" t="s">
        <v>237</v>
      </c>
      <c r="E23" s="23">
        <v>40</v>
      </c>
      <c r="F23" s="23">
        <v>11</v>
      </c>
      <c r="G23" s="5" t="str">
        <f t="shared" si="0"/>
        <v>Fifty One</v>
      </c>
      <c r="H23" s="6">
        <f t="shared" si="1"/>
        <v>51</v>
      </c>
      <c r="I23" s="6" t="str">
        <f t="shared" si="2"/>
        <v>D</v>
      </c>
      <c r="J23" s="8" t="str">
        <f t="shared" si="3"/>
        <v xml:space="preserve"> </v>
      </c>
      <c r="K23" s="9" t="str">
        <f t="shared" si="4"/>
        <v>Passes</v>
      </c>
      <c r="L23" s="18"/>
      <c r="M23" s="19"/>
      <c r="N23" s="14"/>
      <c r="O23" s="1"/>
      <c r="P23" s="1"/>
      <c r="Q23" s="1"/>
      <c r="R23" s="1"/>
      <c r="S23" s="1"/>
      <c r="T23" s="1"/>
      <c r="U23" s="21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s="7" customFormat="1" ht="18" customHeight="1">
      <c r="A24" s="12">
        <v>17</v>
      </c>
      <c r="B24" s="55" t="s">
        <v>238</v>
      </c>
      <c r="D24" s="56" t="s">
        <v>239</v>
      </c>
      <c r="E24" s="23">
        <v>64</v>
      </c>
      <c r="F24" s="23">
        <v>10</v>
      </c>
      <c r="G24" s="5" t="str">
        <f t="shared" si="0"/>
        <v>Seventy Four</v>
      </c>
      <c r="H24" s="6">
        <f t="shared" si="1"/>
        <v>74</v>
      </c>
      <c r="I24" s="6" t="str">
        <f t="shared" si="2"/>
        <v>B</v>
      </c>
      <c r="J24" s="8" t="str">
        <f t="shared" si="3"/>
        <v>-</v>
      </c>
      <c r="K24" s="9" t="str">
        <f t="shared" si="4"/>
        <v>Passes</v>
      </c>
      <c r="L24" s="18"/>
      <c r="M24" s="19"/>
      <c r="N24" s="14"/>
      <c r="O24" s="1"/>
      <c r="P24" s="1"/>
      <c r="Q24" s="1"/>
      <c r="R24" s="1"/>
      <c r="S24" s="1"/>
      <c r="T24" s="1"/>
      <c r="U24" s="21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s="7" customFormat="1" ht="18" customHeight="1">
      <c r="A25" s="12">
        <v>18</v>
      </c>
      <c r="B25" s="55" t="s">
        <v>240</v>
      </c>
      <c r="D25" s="56" t="s">
        <v>241</v>
      </c>
      <c r="E25" s="23">
        <v>44</v>
      </c>
      <c r="F25" s="23">
        <v>10</v>
      </c>
      <c r="G25" s="5" t="str">
        <f t="shared" si="0"/>
        <v>Fifty Four</v>
      </c>
      <c r="H25" s="6">
        <f t="shared" si="1"/>
        <v>54</v>
      </c>
      <c r="I25" s="6" t="str">
        <f t="shared" si="2"/>
        <v>D+</v>
      </c>
      <c r="J25" s="8" t="str">
        <f t="shared" si="3"/>
        <v>+</v>
      </c>
      <c r="K25" s="9" t="str">
        <f t="shared" si="4"/>
        <v>Passes</v>
      </c>
      <c r="L25" s="18"/>
      <c r="M25" s="19"/>
      <c r="N25" s="14"/>
      <c r="O25" s="1"/>
      <c r="P25" s="1"/>
      <c r="Q25" s="1"/>
      <c r="R25" s="1"/>
      <c r="S25" s="1"/>
      <c r="T25" s="1"/>
      <c r="U25" s="21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s="7" customFormat="1" ht="18" customHeight="1">
      <c r="A26" s="12">
        <v>19</v>
      </c>
      <c r="B26" s="55" t="s">
        <v>242</v>
      </c>
      <c r="D26" s="56" t="s">
        <v>243</v>
      </c>
      <c r="E26" s="23">
        <v>46</v>
      </c>
      <c r="F26" s="23">
        <v>10</v>
      </c>
      <c r="G26" s="5" t="str">
        <f t="shared" si="0"/>
        <v>Fifty Six</v>
      </c>
      <c r="H26" s="6">
        <f t="shared" si="1"/>
        <v>56</v>
      </c>
      <c r="I26" s="6" t="str">
        <f t="shared" si="2"/>
        <v>D+</v>
      </c>
      <c r="J26" s="8" t="str">
        <f t="shared" si="3"/>
        <v>+</v>
      </c>
      <c r="K26" s="9" t="str">
        <f t="shared" si="4"/>
        <v>Passes</v>
      </c>
      <c r="L26" s="18"/>
      <c r="M26" s="19"/>
      <c r="N26" s="14"/>
      <c r="O26" s="1"/>
      <c r="P26" s="1"/>
      <c r="Q26" s="1"/>
      <c r="R26" s="1"/>
      <c r="S26" s="1"/>
      <c r="T26" s="1"/>
      <c r="U26" s="21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s="7" customFormat="1" ht="18" customHeight="1">
      <c r="A27" s="12">
        <v>20</v>
      </c>
      <c r="B27" s="55" t="s">
        <v>244</v>
      </c>
      <c r="D27" s="56" t="s">
        <v>245</v>
      </c>
      <c r="E27" s="23">
        <v>38</v>
      </c>
      <c r="F27" s="23">
        <v>7.75</v>
      </c>
      <c r="G27" s="5" t="str">
        <f t="shared" si="0"/>
        <v>Forty Five</v>
      </c>
      <c r="H27" s="6">
        <f t="shared" si="1"/>
        <v>45.75</v>
      </c>
      <c r="I27" s="6" t="str">
        <f t="shared" si="2"/>
        <v>F</v>
      </c>
      <c r="J27" s="8" t="str">
        <f t="shared" si="3"/>
        <v xml:space="preserve"> </v>
      </c>
      <c r="K27" s="9" t="str">
        <f t="shared" si="4"/>
        <v>Fail in Th. &amp; Pr.</v>
      </c>
      <c r="L27" s="18"/>
      <c r="M27" s="19"/>
      <c r="N27" s="14"/>
      <c r="O27" s="1"/>
      <c r="P27" s="1"/>
      <c r="Q27" s="1"/>
      <c r="R27" s="1"/>
      <c r="S27" s="1"/>
      <c r="T27" s="1"/>
      <c r="U27" s="21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s="7" customFormat="1" ht="18" customHeight="1">
      <c r="A28" s="12">
        <v>21</v>
      </c>
      <c r="B28" s="55" t="s">
        <v>246</v>
      </c>
      <c r="D28" s="56" t="s">
        <v>247</v>
      </c>
      <c r="E28" s="23">
        <v>76</v>
      </c>
      <c r="F28" s="23">
        <v>11</v>
      </c>
      <c r="G28" s="5" t="str">
        <f t="shared" si="0"/>
        <v>Eighty Seven</v>
      </c>
      <c r="H28" s="6">
        <f t="shared" si="1"/>
        <v>87</v>
      </c>
      <c r="I28" s="6" t="str">
        <f t="shared" si="2"/>
        <v>A</v>
      </c>
      <c r="J28" s="8" t="str">
        <f t="shared" si="3"/>
        <v>-</v>
      </c>
      <c r="K28" s="9" t="str">
        <f t="shared" si="4"/>
        <v>Passes</v>
      </c>
      <c r="L28" s="18"/>
      <c r="M28" s="19"/>
      <c r="N28" s="14"/>
      <c r="O28" s="1"/>
      <c r="P28" s="1"/>
      <c r="Q28" s="1"/>
      <c r="R28" s="1"/>
      <c r="S28" s="1"/>
      <c r="T28" s="1"/>
      <c r="U28" s="21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s="7" customFormat="1" ht="18" customHeight="1">
      <c r="A29" s="12">
        <v>22</v>
      </c>
      <c r="B29" s="55" t="s">
        <v>248</v>
      </c>
      <c r="D29" s="56" t="s">
        <v>249</v>
      </c>
      <c r="E29" s="23">
        <v>59</v>
      </c>
      <c r="F29" s="23">
        <v>10</v>
      </c>
      <c r="G29" s="5" t="str">
        <f t="shared" si="0"/>
        <v>Sixty Nine</v>
      </c>
      <c r="H29" s="6">
        <f t="shared" si="1"/>
        <v>69</v>
      </c>
      <c r="I29" s="6" t="str">
        <f t="shared" si="2"/>
        <v>B-</v>
      </c>
      <c r="J29" s="8" t="str">
        <f t="shared" si="3"/>
        <v>-</v>
      </c>
      <c r="K29" s="9" t="str">
        <f t="shared" si="4"/>
        <v>Passes</v>
      </c>
      <c r="L29" s="18"/>
      <c r="M29" s="19"/>
      <c r="N29" s="14"/>
      <c r="O29" s="1"/>
      <c r="P29" s="1"/>
      <c r="Q29" s="1"/>
      <c r="R29" s="1"/>
      <c r="S29" s="1"/>
      <c r="T29" s="1"/>
      <c r="U29" s="21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s="7" customFormat="1" ht="18" customHeight="1">
      <c r="A30" s="12">
        <v>23</v>
      </c>
      <c r="B30" s="55" t="s">
        <v>250</v>
      </c>
      <c r="D30" s="56" t="s">
        <v>251</v>
      </c>
      <c r="E30" s="23">
        <v>8</v>
      </c>
      <c r="F30" s="23">
        <v>3.5</v>
      </c>
      <c r="G30" s="5" t="str">
        <f t="shared" si="0"/>
        <v>Eleven</v>
      </c>
      <c r="H30" s="6">
        <f t="shared" si="1"/>
        <v>11.5</v>
      </c>
      <c r="I30" s="6" t="str">
        <f t="shared" si="2"/>
        <v>F</v>
      </c>
      <c r="J30" s="8" t="str">
        <f t="shared" si="3"/>
        <v xml:space="preserve"> </v>
      </c>
      <c r="K30" s="9" t="str">
        <f t="shared" si="4"/>
        <v>Fail in Th. &amp; Pr.</v>
      </c>
      <c r="L30" s="18"/>
      <c r="M30" s="19"/>
      <c r="N30" s="14"/>
      <c r="O30" s="1"/>
      <c r="P30" s="1"/>
      <c r="Q30" s="1"/>
      <c r="R30" s="1"/>
      <c r="S30" s="1"/>
      <c r="T30" s="1"/>
      <c r="U30" s="21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s="7" customFormat="1" ht="18" customHeight="1">
      <c r="A31" s="12">
        <v>24</v>
      </c>
      <c r="B31" s="55" t="s">
        <v>252</v>
      </c>
      <c r="D31" s="56" t="s">
        <v>253</v>
      </c>
      <c r="E31" s="23">
        <v>63</v>
      </c>
      <c r="F31" s="23">
        <v>10</v>
      </c>
      <c r="G31" s="5" t="str">
        <f t="shared" si="0"/>
        <v>Seventy Three</v>
      </c>
      <c r="H31" s="6">
        <f t="shared" si="1"/>
        <v>73</v>
      </c>
      <c r="I31" s="6" t="str">
        <f t="shared" si="2"/>
        <v>B</v>
      </c>
      <c r="J31" s="8" t="str">
        <f t="shared" si="3"/>
        <v>-</v>
      </c>
      <c r="K31" s="9" t="str">
        <f t="shared" si="4"/>
        <v>Passes</v>
      </c>
      <c r="L31" s="18"/>
      <c r="M31" s="19"/>
      <c r="N31" s="14"/>
      <c r="O31" s="1"/>
      <c r="P31" s="1"/>
      <c r="Q31" s="1"/>
      <c r="R31" s="1"/>
      <c r="S31" s="1"/>
      <c r="T31" s="1"/>
      <c r="U31" s="21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s="7" customFormat="1" ht="18" customHeight="1">
      <c r="A32" s="12">
        <v>25</v>
      </c>
      <c r="B32" s="55" t="s">
        <v>254</v>
      </c>
      <c r="D32" s="56" t="s">
        <v>255</v>
      </c>
      <c r="E32" s="23">
        <v>8</v>
      </c>
      <c r="F32" s="23">
        <v>4.5</v>
      </c>
      <c r="G32" s="5" t="str">
        <f t="shared" si="0"/>
        <v>Twelve</v>
      </c>
      <c r="H32" s="6">
        <f t="shared" si="1"/>
        <v>12.5</v>
      </c>
      <c r="I32" s="6" t="str">
        <f t="shared" si="2"/>
        <v>F</v>
      </c>
      <c r="J32" s="8" t="str">
        <f t="shared" si="3"/>
        <v xml:space="preserve"> </v>
      </c>
      <c r="K32" s="9" t="str">
        <f t="shared" si="4"/>
        <v>Fail in Th. &amp; Pr.</v>
      </c>
      <c r="L32" s="18"/>
      <c r="M32" s="19"/>
      <c r="N32" s="14"/>
      <c r="O32" s="1"/>
      <c r="P32" s="1"/>
      <c r="Q32" s="1"/>
      <c r="R32" s="1"/>
      <c r="S32" s="1"/>
      <c r="T32" s="1"/>
      <c r="U32" s="21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s="7" customFormat="1" ht="18" customHeight="1">
      <c r="A33" s="12">
        <v>26</v>
      </c>
      <c r="B33" s="55" t="s">
        <v>256</v>
      </c>
      <c r="D33" s="56" t="s">
        <v>257</v>
      </c>
      <c r="E33" s="23">
        <v>55.5</v>
      </c>
      <c r="F33" s="23">
        <v>12.25</v>
      </c>
      <c r="G33" s="5" t="str">
        <f t="shared" si="0"/>
        <v>Sixty Seven</v>
      </c>
      <c r="H33" s="6">
        <f t="shared" si="1"/>
        <v>67.75</v>
      </c>
      <c r="I33" s="6" t="str">
        <f t="shared" si="2"/>
        <v>C+</v>
      </c>
      <c r="J33" s="8" t="str">
        <f t="shared" si="3"/>
        <v>+</v>
      </c>
      <c r="K33" s="9" t="str">
        <f t="shared" si="4"/>
        <v>Passes</v>
      </c>
      <c r="L33" s="18"/>
      <c r="M33" s="19"/>
      <c r="N33" s="14"/>
      <c r="O33" s="1"/>
      <c r="P33" s="1"/>
      <c r="Q33" s="1"/>
      <c r="R33" s="1"/>
      <c r="S33" s="1"/>
      <c r="T33" s="1"/>
      <c r="U33" s="21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 s="7" customFormat="1" ht="18" customHeight="1">
      <c r="A34" s="12">
        <v>27</v>
      </c>
      <c r="B34" s="55" t="s">
        <v>258</v>
      </c>
      <c r="D34" s="56" t="s">
        <v>259</v>
      </c>
      <c r="E34" s="23">
        <v>78</v>
      </c>
      <c r="F34" s="23">
        <v>13.25</v>
      </c>
      <c r="G34" s="5" t="str">
        <f t="shared" si="0"/>
        <v>Ninety One</v>
      </c>
      <c r="H34" s="6">
        <f t="shared" si="1"/>
        <v>91.25</v>
      </c>
      <c r="I34" s="6" t="str">
        <f t="shared" si="2"/>
        <v>A+</v>
      </c>
      <c r="J34" s="8" t="str">
        <f t="shared" si="3"/>
        <v>+</v>
      </c>
      <c r="K34" s="9" t="str">
        <f t="shared" si="4"/>
        <v>Passes</v>
      </c>
      <c r="L34" s="18"/>
      <c r="M34" s="19"/>
      <c r="N34" s="14"/>
      <c r="O34" s="1"/>
      <c r="P34" s="1"/>
      <c r="Q34" s="1"/>
      <c r="R34" s="1"/>
      <c r="S34" s="1"/>
      <c r="T34" s="1"/>
      <c r="U34" s="21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s="7" customFormat="1" ht="18" customHeight="1">
      <c r="A35" s="12">
        <v>28</v>
      </c>
      <c r="B35" s="55" t="s">
        <v>260</v>
      </c>
      <c r="D35" s="56" t="s">
        <v>261</v>
      </c>
      <c r="E35" s="23">
        <v>42.5</v>
      </c>
      <c r="F35" s="24">
        <v>10</v>
      </c>
      <c r="G35" s="5" t="str">
        <f t="shared" si="0"/>
        <v>Fifty Two</v>
      </c>
      <c r="H35" s="6">
        <f t="shared" si="1"/>
        <v>52.5</v>
      </c>
      <c r="I35" s="6" t="str">
        <f t="shared" si="2"/>
        <v>D</v>
      </c>
      <c r="J35" s="8" t="str">
        <f t="shared" si="3"/>
        <v xml:space="preserve"> </v>
      </c>
      <c r="K35" s="9" t="str">
        <f t="shared" si="4"/>
        <v>Passes</v>
      </c>
      <c r="L35" s="18"/>
      <c r="M35" s="19"/>
      <c r="N35" s="14"/>
      <c r="O35" s="1"/>
      <c r="P35" s="1"/>
      <c r="Q35" s="1"/>
      <c r="R35" s="1"/>
      <c r="S35" s="1"/>
      <c r="T35" s="1"/>
      <c r="U35" s="21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s="7" customFormat="1" ht="18" customHeight="1">
      <c r="A36" s="12">
        <v>29</v>
      </c>
      <c r="B36" s="55" t="s">
        <v>262</v>
      </c>
      <c r="D36" s="56" t="s">
        <v>263</v>
      </c>
      <c r="E36" s="23">
        <v>70</v>
      </c>
      <c r="F36" s="23">
        <v>10.75</v>
      </c>
      <c r="G36" s="5" t="str">
        <f t="shared" si="0"/>
        <v>Eighty only</v>
      </c>
      <c r="H36" s="6">
        <f t="shared" si="1"/>
        <v>80.75</v>
      </c>
      <c r="I36" s="6" t="str">
        <f t="shared" si="2"/>
        <v>A-</v>
      </c>
      <c r="J36" s="8" t="str">
        <f t="shared" si="3"/>
        <v>+</v>
      </c>
      <c r="K36" s="9" t="str">
        <f t="shared" si="4"/>
        <v>Passes</v>
      </c>
      <c r="L36" s="18"/>
      <c r="M36" s="19"/>
      <c r="N36" s="14"/>
      <c r="O36" s="1"/>
      <c r="P36" s="1"/>
      <c r="Q36" s="1"/>
      <c r="R36" s="1"/>
      <c r="S36" s="1"/>
      <c r="T36" s="1"/>
      <c r="U36" s="21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s="7" customFormat="1" ht="18" customHeight="1">
      <c r="A37" s="12">
        <v>30</v>
      </c>
      <c r="B37" s="55" t="s">
        <v>264</v>
      </c>
      <c r="D37" s="56" t="s">
        <v>265</v>
      </c>
      <c r="E37" s="25">
        <v>47</v>
      </c>
      <c r="F37" s="23">
        <v>10.75</v>
      </c>
      <c r="G37" s="5" t="str">
        <f t="shared" si="0"/>
        <v>Fifty Seven</v>
      </c>
      <c r="H37" s="6">
        <f t="shared" si="1"/>
        <v>57.75</v>
      </c>
      <c r="I37" s="6" t="str">
        <f t="shared" si="2"/>
        <v>C-</v>
      </c>
      <c r="J37" s="8" t="str">
        <f t="shared" si="3"/>
        <v>-</v>
      </c>
      <c r="K37" s="9" t="str">
        <f t="shared" si="4"/>
        <v>Passes</v>
      </c>
      <c r="L37" s="18"/>
      <c r="M37" s="19"/>
      <c r="N37" s="14"/>
      <c r="O37" s="1"/>
      <c r="P37" s="1"/>
      <c r="Q37" s="1"/>
      <c r="R37" s="1"/>
      <c r="S37" s="1"/>
      <c r="T37" s="1"/>
      <c r="U37" s="21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s="7" customFormat="1" ht="18" customHeight="1">
      <c r="A38" s="12">
        <v>31</v>
      </c>
      <c r="B38" s="55" t="s">
        <v>266</v>
      </c>
      <c r="D38" s="56" t="s">
        <v>267</v>
      </c>
      <c r="E38" s="23">
        <v>42</v>
      </c>
      <c r="F38" s="23">
        <v>10.25</v>
      </c>
      <c r="G38" s="5" t="str">
        <f t="shared" si="0"/>
        <v>Fifty Two</v>
      </c>
      <c r="H38" s="6">
        <f t="shared" si="1"/>
        <v>52.25</v>
      </c>
      <c r="I38" s="6" t="str">
        <f t="shared" si="2"/>
        <v>D</v>
      </c>
      <c r="J38" s="8" t="str">
        <f t="shared" si="3"/>
        <v xml:space="preserve"> </v>
      </c>
      <c r="K38" s="9" t="str">
        <f t="shared" si="4"/>
        <v>Passes</v>
      </c>
      <c r="L38" s="18"/>
      <c r="M38" s="19"/>
      <c r="N38" s="14"/>
      <c r="O38" s="1"/>
      <c r="P38" s="1"/>
      <c r="Q38" s="1"/>
      <c r="R38" s="1"/>
      <c r="S38" s="1"/>
      <c r="T38" s="1"/>
      <c r="U38" s="21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s="7" customFormat="1" ht="18" customHeight="1">
      <c r="A39" s="12">
        <v>32</v>
      </c>
      <c r="B39" s="55" t="s">
        <v>268</v>
      </c>
      <c r="D39" s="56" t="s">
        <v>269</v>
      </c>
      <c r="E39" s="23">
        <v>73</v>
      </c>
      <c r="F39" s="23">
        <v>11</v>
      </c>
      <c r="G39" s="5" t="str">
        <f t="shared" ref="G39:G68" si="5">VLOOKUP(H39,$B$151:$C$252,2,TRUE)</f>
        <v>Eighty Four</v>
      </c>
      <c r="H39" s="6">
        <f t="shared" si="1"/>
        <v>84</v>
      </c>
      <c r="I39" s="6" t="str">
        <f t="shared" ref="I39:I68" si="6">VLOOKUP(H39,$F$151:$G$252,2,TRUE)</f>
        <v>A-</v>
      </c>
      <c r="J39" s="8" t="str">
        <f t="shared" si="3"/>
        <v>-</v>
      </c>
      <c r="K39" s="9" t="str">
        <f t="shared" si="4"/>
        <v>Passes</v>
      </c>
      <c r="L39" s="18"/>
      <c r="M39" s="19"/>
      <c r="N39" s="14"/>
      <c r="O39" s="1"/>
      <c r="P39" s="1"/>
      <c r="Q39" s="1"/>
      <c r="R39" s="1"/>
      <c r="S39" s="1"/>
      <c r="T39" s="1"/>
      <c r="U39" s="21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s="7" customFormat="1" ht="18" customHeight="1">
      <c r="A40" s="12">
        <v>33</v>
      </c>
      <c r="B40" s="55" t="s">
        <v>270</v>
      </c>
      <c r="D40" s="56" t="s">
        <v>271</v>
      </c>
      <c r="E40" s="23">
        <v>74.5</v>
      </c>
      <c r="F40" s="23">
        <v>13</v>
      </c>
      <c r="G40" s="5" t="str">
        <f t="shared" si="5"/>
        <v>Eighty Seven</v>
      </c>
      <c r="H40" s="6">
        <f t="shared" si="1"/>
        <v>87.5</v>
      </c>
      <c r="I40" s="6" t="str">
        <f t="shared" si="6"/>
        <v>A</v>
      </c>
      <c r="J40" s="8" t="str">
        <f t="shared" si="3"/>
        <v>-</v>
      </c>
      <c r="K40" s="9" t="str">
        <f t="shared" si="4"/>
        <v>Passes</v>
      </c>
      <c r="L40" s="18"/>
      <c r="M40" s="19"/>
      <c r="N40" s="14"/>
      <c r="O40" s="1"/>
      <c r="P40" s="1"/>
      <c r="Q40" s="1"/>
      <c r="R40" s="1"/>
      <c r="S40" s="1"/>
      <c r="T40" s="1"/>
      <c r="U40" s="21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s="7" customFormat="1" ht="18" customHeight="1">
      <c r="A41" s="12">
        <v>34</v>
      </c>
      <c r="B41" s="55" t="s">
        <v>272</v>
      </c>
      <c r="D41" s="56" t="s">
        <v>273</v>
      </c>
      <c r="E41" s="23">
        <v>71</v>
      </c>
      <c r="F41" s="23">
        <v>13</v>
      </c>
      <c r="G41" s="5" t="str">
        <f t="shared" si="5"/>
        <v>Eighty Four</v>
      </c>
      <c r="H41" s="6">
        <f t="shared" si="1"/>
        <v>84</v>
      </c>
      <c r="I41" s="6" t="str">
        <f t="shared" si="6"/>
        <v>A-</v>
      </c>
      <c r="J41" s="8" t="str">
        <f t="shared" si="3"/>
        <v>-</v>
      </c>
      <c r="K41" s="9" t="str">
        <f t="shared" si="4"/>
        <v>Passes</v>
      </c>
      <c r="L41" s="18"/>
      <c r="M41" s="19"/>
      <c r="N41" s="14"/>
      <c r="O41" s="1"/>
      <c r="P41" s="1"/>
      <c r="Q41" s="1"/>
      <c r="R41" s="1"/>
      <c r="S41" s="1"/>
      <c r="T41" s="1"/>
      <c r="U41" s="21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s="7" customFormat="1" ht="18" customHeight="1">
      <c r="A42" s="12">
        <v>35</v>
      </c>
      <c r="B42" s="55" t="s">
        <v>274</v>
      </c>
      <c r="D42" s="56" t="s">
        <v>130</v>
      </c>
      <c r="E42" s="23">
        <v>32</v>
      </c>
      <c r="F42" s="23">
        <v>7.25</v>
      </c>
      <c r="G42" s="5" t="str">
        <f t="shared" si="5"/>
        <v>Thirty Nine</v>
      </c>
      <c r="H42" s="6">
        <f t="shared" si="1"/>
        <v>39.25</v>
      </c>
      <c r="I42" s="6" t="str">
        <f t="shared" si="6"/>
        <v>F</v>
      </c>
      <c r="J42" s="8" t="str">
        <f t="shared" si="3"/>
        <v xml:space="preserve"> </v>
      </c>
      <c r="K42" s="9" t="str">
        <f t="shared" si="4"/>
        <v>Fail in Th. &amp; Pr.</v>
      </c>
      <c r="L42" s="18"/>
      <c r="M42" s="19"/>
      <c r="N42" s="14"/>
      <c r="O42" s="1"/>
      <c r="P42" s="1"/>
      <c r="Q42" s="1"/>
      <c r="R42" s="1"/>
      <c r="S42" s="1"/>
      <c r="T42" s="1"/>
      <c r="U42" s="21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s="7" customFormat="1" ht="18" customHeight="1">
      <c r="A43" s="12">
        <v>36</v>
      </c>
      <c r="B43" s="55" t="s">
        <v>275</v>
      </c>
      <c r="D43" s="56" t="s">
        <v>276</v>
      </c>
      <c r="E43" s="23">
        <v>53</v>
      </c>
      <c r="F43" s="23">
        <v>11.75</v>
      </c>
      <c r="G43" s="5" t="str">
        <f t="shared" si="5"/>
        <v>Sixty Four</v>
      </c>
      <c r="H43" s="6">
        <f t="shared" si="1"/>
        <v>64.75</v>
      </c>
      <c r="I43" s="6" t="str">
        <f t="shared" si="6"/>
        <v>C+</v>
      </c>
      <c r="J43" s="8" t="str">
        <f t="shared" si="3"/>
        <v>+</v>
      </c>
      <c r="K43" s="9" t="str">
        <f t="shared" si="4"/>
        <v>Passes</v>
      </c>
      <c r="L43" s="18"/>
      <c r="M43" s="19"/>
      <c r="N43" s="14"/>
      <c r="O43" s="1"/>
      <c r="P43" s="1"/>
      <c r="Q43" s="1"/>
      <c r="R43" s="1"/>
      <c r="S43" s="1"/>
      <c r="T43" s="1"/>
      <c r="U43" s="21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s="7" customFormat="1" ht="18" customHeight="1">
      <c r="A44" s="12">
        <v>37</v>
      </c>
      <c r="B44" s="55" t="s">
        <v>277</v>
      </c>
      <c r="D44" s="56" t="s">
        <v>278</v>
      </c>
      <c r="E44" s="37">
        <v>40</v>
      </c>
      <c r="F44" s="23">
        <v>12</v>
      </c>
      <c r="G44" s="5" t="str">
        <f t="shared" si="5"/>
        <v>Fifty Two</v>
      </c>
      <c r="H44" s="6">
        <f t="shared" si="1"/>
        <v>52</v>
      </c>
      <c r="I44" s="6" t="str">
        <f t="shared" si="6"/>
        <v>D</v>
      </c>
      <c r="J44" s="8" t="str">
        <f t="shared" si="3"/>
        <v xml:space="preserve"> </v>
      </c>
      <c r="K44" s="9" t="str">
        <f t="shared" si="4"/>
        <v>Passes</v>
      </c>
      <c r="L44" s="18"/>
      <c r="M44" s="19"/>
      <c r="N44" s="14"/>
      <c r="O44" s="1"/>
      <c r="P44" s="1"/>
      <c r="Q44" s="1"/>
      <c r="R44" s="1"/>
      <c r="S44" s="1"/>
      <c r="T44" s="1"/>
      <c r="U44" s="21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s="7" customFormat="1" ht="18" customHeight="1">
      <c r="A45" s="12">
        <v>38</v>
      </c>
      <c r="B45" s="55" t="s">
        <v>279</v>
      </c>
      <c r="D45" s="56" t="s">
        <v>280</v>
      </c>
      <c r="E45" s="23">
        <v>53</v>
      </c>
      <c r="F45" s="23">
        <v>12.25</v>
      </c>
      <c r="G45" s="5" t="str">
        <f t="shared" si="5"/>
        <v>Sixty Five</v>
      </c>
      <c r="H45" s="6">
        <f t="shared" si="1"/>
        <v>65.25</v>
      </c>
      <c r="I45" s="6" t="str">
        <f t="shared" si="6"/>
        <v>C+</v>
      </c>
      <c r="J45" s="8" t="str">
        <f t="shared" si="3"/>
        <v>+</v>
      </c>
      <c r="K45" s="9" t="str">
        <f t="shared" si="4"/>
        <v>Passes</v>
      </c>
      <c r="L45" s="18"/>
      <c r="M45" s="19"/>
      <c r="N45" s="14"/>
      <c r="O45" s="1"/>
      <c r="P45" s="1"/>
      <c r="Q45" s="1"/>
      <c r="R45" s="1"/>
      <c r="S45" s="1"/>
      <c r="T45" s="1"/>
      <c r="U45" s="21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s="7" customFormat="1" ht="18" customHeight="1">
      <c r="A46" s="12">
        <v>39</v>
      </c>
      <c r="B46" s="55" t="s">
        <v>281</v>
      </c>
      <c r="D46" s="56" t="s">
        <v>282</v>
      </c>
      <c r="E46" s="23">
        <v>46</v>
      </c>
      <c r="F46" s="23">
        <v>10</v>
      </c>
      <c r="G46" s="5" t="str">
        <f t="shared" si="5"/>
        <v>Fifty Six</v>
      </c>
      <c r="H46" s="6">
        <f t="shared" si="1"/>
        <v>56</v>
      </c>
      <c r="I46" s="6" t="str">
        <f t="shared" si="6"/>
        <v>D+</v>
      </c>
      <c r="J46" s="8" t="str">
        <f t="shared" si="3"/>
        <v>+</v>
      </c>
      <c r="K46" s="9" t="str">
        <f t="shared" si="4"/>
        <v>Passes</v>
      </c>
      <c r="L46" s="18"/>
      <c r="M46" s="19"/>
      <c r="N46" s="14"/>
      <c r="O46" s="1"/>
      <c r="P46" s="1"/>
      <c r="Q46" s="1"/>
      <c r="R46" s="1"/>
      <c r="S46" s="1"/>
      <c r="T46" s="1"/>
      <c r="U46" s="21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s="7" customFormat="1" ht="18" customHeight="1">
      <c r="A47" s="12">
        <v>40</v>
      </c>
      <c r="B47" s="55" t="s">
        <v>283</v>
      </c>
      <c r="D47" s="56" t="s">
        <v>284</v>
      </c>
      <c r="E47" s="23">
        <v>46.5</v>
      </c>
      <c r="F47" s="23">
        <v>10.5</v>
      </c>
      <c r="G47" s="5" t="str">
        <f t="shared" si="5"/>
        <v>Fifty Seven</v>
      </c>
      <c r="H47" s="6">
        <f t="shared" si="1"/>
        <v>57</v>
      </c>
      <c r="I47" s="6" t="str">
        <f t="shared" si="6"/>
        <v>C-</v>
      </c>
      <c r="J47" s="8" t="str">
        <f t="shared" si="3"/>
        <v>-</v>
      </c>
      <c r="K47" s="9" t="str">
        <f t="shared" si="4"/>
        <v>Passes</v>
      </c>
      <c r="L47" s="18"/>
      <c r="M47" s="19"/>
      <c r="N47" s="14"/>
      <c r="O47" s="1"/>
      <c r="P47" s="1"/>
      <c r="Q47" s="1"/>
      <c r="R47" s="1"/>
      <c r="S47" s="1"/>
      <c r="T47" s="1"/>
      <c r="U47" s="21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s="7" customFormat="1" ht="18" customHeight="1">
      <c r="A48" s="12">
        <v>41</v>
      </c>
      <c r="B48" s="55" t="s">
        <v>285</v>
      </c>
      <c r="D48" s="56" t="s">
        <v>286</v>
      </c>
      <c r="E48" s="23">
        <v>64</v>
      </c>
      <c r="F48" s="23">
        <v>12</v>
      </c>
      <c r="G48" s="5" t="str">
        <f t="shared" si="5"/>
        <v>Seventy Six</v>
      </c>
      <c r="H48" s="6">
        <f t="shared" si="1"/>
        <v>76</v>
      </c>
      <c r="I48" s="6" t="str">
        <f t="shared" si="6"/>
        <v>B+</v>
      </c>
      <c r="J48" s="8" t="str">
        <f t="shared" si="3"/>
        <v>+</v>
      </c>
      <c r="K48" s="9" t="str">
        <f t="shared" si="4"/>
        <v>Passes</v>
      </c>
      <c r="L48" s="18"/>
      <c r="M48" s="19"/>
      <c r="N48" s="14"/>
      <c r="O48" s="1"/>
      <c r="P48" s="1"/>
      <c r="Q48" s="1"/>
      <c r="R48" s="1"/>
      <c r="S48" s="1"/>
      <c r="T48" s="1"/>
      <c r="U48" s="21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s="7" customFormat="1" ht="18" customHeight="1">
      <c r="A49" s="12">
        <v>42</v>
      </c>
      <c r="B49" s="55" t="s">
        <v>287</v>
      </c>
      <c r="D49" s="56" t="s">
        <v>288</v>
      </c>
      <c r="E49" s="23">
        <v>40</v>
      </c>
      <c r="F49" s="23">
        <v>10</v>
      </c>
      <c r="G49" s="5" t="str">
        <f t="shared" si="5"/>
        <v>Fifty only</v>
      </c>
      <c r="H49" s="6">
        <f t="shared" si="1"/>
        <v>50</v>
      </c>
      <c r="I49" s="6" t="str">
        <f t="shared" si="6"/>
        <v>D</v>
      </c>
      <c r="J49" s="8" t="str">
        <f t="shared" si="3"/>
        <v xml:space="preserve"> </v>
      </c>
      <c r="K49" s="9" t="str">
        <f t="shared" si="4"/>
        <v>Passes</v>
      </c>
      <c r="L49" s="18"/>
      <c r="M49" s="19"/>
      <c r="N49" s="14"/>
      <c r="O49" s="1"/>
      <c r="P49" s="1"/>
      <c r="Q49" s="1"/>
      <c r="R49" s="1"/>
      <c r="S49" s="1"/>
      <c r="T49" s="1"/>
      <c r="U49" s="21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s="7" customFormat="1" ht="18" customHeight="1">
      <c r="A50" s="12">
        <v>43</v>
      </c>
      <c r="B50" s="55" t="s">
        <v>289</v>
      </c>
      <c r="D50" s="56" t="s">
        <v>290</v>
      </c>
      <c r="E50" s="23">
        <v>48</v>
      </c>
      <c r="F50" s="23">
        <v>11.5</v>
      </c>
      <c r="G50" s="5" t="str">
        <f t="shared" si="5"/>
        <v>Fifty Nine</v>
      </c>
      <c r="H50" s="6">
        <f t="shared" si="1"/>
        <v>59.5</v>
      </c>
      <c r="I50" s="6" t="str">
        <f t="shared" si="6"/>
        <v>C-</v>
      </c>
      <c r="J50" s="8" t="str">
        <f t="shared" si="3"/>
        <v>-</v>
      </c>
      <c r="K50" s="9" t="str">
        <f t="shared" si="4"/>
        <v>Passes</v>
      </c>
      <c r="L50" s="18"/>
      <c r="M50" s="19"/>
      <c r="N50" s="14"/>
      <c r="O50" s="1"/>
      <c r="P50" s="1"/>
      <c r="Q50" s="1"/>
      <c r="R50" s="1"/>
      <c r="S50" s="1"/>
      <c r="T50" s="1"/>
      <c r="U50" s="21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s="7" customFormat="1" ht="18" customHeight="1">
      <c r="A51" s="12">
        <v>44</v>
      </c>
      <c r="B51" s="55" t="s">
        <v>291</v>
      </c>
      <c r="D51" s="56" t="s">
        <v>292</v>
      </c>
      <c r="E51" s="23">
        <v>58</v>
      </c>
      <c r="F51" s="23">
        <v>10</v>
      </c>
      <c r="G51" s="5" t="str">
        <f t="shared" si="5"/>
        <v>Sixty Eight</v>
      </c>
      <c r="H51" s="6">
        <f t="shared" si="1"/>
        <v>68</v>
      </c>
      <c r="I51" s="6" t="str">
        <f t="shared" si="6"/>
        <v>B-</v>
      </c>
      <c r="J51" s="8" t="str">
        <f t="shared" si="3"/>
        <v>-</v>
      </c>
      <c r="K51" s="9" t="str">
        <f t="shared" si="4"/>
        <v>Passes</v>
      </c>
      <c r="L51" s="18"/>
      <c r="M51" s="19"/>
      <c r="N51" s="14"/>
      <c r="O51" s="1"/>
      <c r="P51" s="1"/>
      <c r="Q51" s="1"/>
      <c r="R51" s="1"/>
      <c r="S51" s="1"/>
      <c r="T51" s="1"/>
      <c r="U51" s="21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s="7" customFormat="1" ht="18" customHeight="1">
      <c r="A52" s="12">
        <v>45</v>
      </c>
      <c r="B52" s="55" t="s">
        <v>293</v>
      </c>
      <c r="D52" s="56" t="s">
        <v>294</v>
      </c>
      <c r="E52" s="23">
        <v>66</v>
      </c>
      <c r="F52" s="23">
        <v>11.75</v>
      </c>
      <c r="G52" s="5" t="str">
        <f t="shared" si="5"/>
        <v>Seventy Seven</v>
      </c>
      <c r="H52" s="6">
        <f t="shared" si="1"/>
        <v>77.75</v>
      </c>
      <c r="I52" s="6" t="str">
        <f t="shared" si="6"/>
        <v>B+</v>
      </c>
      <c r="J52" s="8" t="str">
        <f t="shared" si="3"/>
        <v>+</v>
      </c>
      <c r="K52" s="9" t="str">
        <f t="shared" si="4"/>
        <v>Passes</v>
      </c>
      <c r="L52" s="18"/>
      <c r="M52" s="19"/>
      <c r="N52" s="14"/>
      <c r="O52" s="1"/>
      <c r="P52" s="1"/>
      <c r="Q52" s="1"/>
      <c r="R52" s="1"/>
      <c r="S52" s="1"/>
      <c r="T52" s="1"/>
      <c r="U52" s="21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s="7" customFormat="1" ht="18" customHeight="1">
      <c r="A53" s="12">
        <v>46</v>
      </c>
      <c r="B53" s="55" t="s">
        <v>295</v>
      </c>
      <c r="D53" s="56" t="s">
        <v>296</v>
      </c>
      <c r="E53" s="23">
        <v>52</v>
      </c>
      <c r="F53" s="26">
        <v>10</v>
      </c>
      <c r="G53" s="5" t="str">
        <f t="shared" si="5"/>
        <v>Sixty Two</v>
      </c>
      <c r="H53" s="6">
        <f t="shared" si="1"/>
        <v>62</v>
      </c>
      <c r="I53" s="6" t="str">
        <f t="shared" si="6"/>
        <v>C</v>
      </c>
      <c r="J53" s="8" t="str">
        <f t="shared" si="3"/>
        <v>-</v>
      </c>
      <c r="K53" s="9" t="str">
        <f t="shared" si="4"/>
        <v>Passes</v>
      </c>
      <c r="L53" s="18"/>
      <c r="M53" s="19"/>
      <c r="N53" s="14"/>
      <c r="O53" s="1"/>
      <c r="P53" s="1"/>
      <c r="Q53" s="1"/>
      <c r="R53" s="1"/>
      <c r="S53" s="1"/>
      <c r="T53" s="1"/>
      <c r="U53" s="21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s="7" customFormat="1" ht="18" customHeight="1">
      <c r="A54" s="12">
        <v>47</v>
      </c>
      <c r="B54" s="55" t="s">
        <v>297</v>
      </c>
      <c r="D54" s="56" t="s">
        <v>298</v>
      </c>
      <c r="E54" s="23">
        <v>71.5</v>
      </c>
      <c r="F54" s="23">
        <v>11.25</v>
      </c>
      <c r="G54" s="5" t="str">
        <f t="shared" si="5"/>
        <v>Eighty Two</v>
      </c>
      <c r="H54" s="6">
        <f t="shared" si="1"/>
        <v>82.75</v>
      </c>
      <c r="I54" s="6" t="str">
        <f t="shared" si="6"/>
        <v>A-</v>
      </c>
      <c r="J54" s="8" t="str">
        <f t="shared" si="3"/>
        <v>+</v>
      </c>
      <c r="K54" s="9" t="str">
        <f t="shared" si="4"/>
        <v>Passes</v>
      </c>
      <c r="L54" s="18"/>
      <c r="M54" s="19"/>
      <c r="N54" s="14"/>
      <c r="O54" s="1"/>
      <c r="P54" s="1"/>
      <c r="Q54" s="1"/>
      <c r="R54" s="1"/>
      <c r="S54" s="1"/>
      <c r="T54" s="1"/>
      <c r="U54" s="21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s="7" customFormat="1" ht="18" customHeight="1">
      <c r="A55" s="12">
        <v>48</v>
      </c>
      <c r="B55" s="55" t="s">
        <v>299</v>
      </c>
      <c r="D55" s="56" t="s">
        <v>131</v>
      </c>
      <c r="E55" s="23">
        <v>67</v>
      </c>
      <c r="F55" s="23">
        <v>14.25</v>
      </c>
      <c r="G55" s="5" t="str">
        <f t="shared" si="5"/>
        <v>Eighty One</v>
      </c>
      <c r="H55" s="6">
        <f t="shared" si="1"/>
        <v>81.25</v>
      </c>
      <c r="I55" s="6" t="str">
        <f t="shared" si="6"/>
        <v>A-</v>
      </c>
      <c r="J55" s="8" t="str">
        <f t="shared" si="3"/>
        <v>+</v>
      </c>
      <c r="K55" s="9" t="str">
        <f t="shared" si="4"/>
        <v>Passes</v>
      </c>
      <c r="L55" s="18"/>
      <c r="M55" s="19"/>
      <c r="N55" s="14"/>
      <c r="O55" s="1"/>
      <c r="P55" s="1"/>
      <c r="Q55" s="1"/>
      <c r="R55" s="1"/>
      <c r="S55" s="1"/>
      <c r="T55" s="1"/>
      <c r="U55" s="21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s="7" customFormat="1" ht="18" customHeight="1">
      <c r="A56" s="12">
        <v>49</v>
      </c>
      <c r="B56" s="55" t="s">
        <v>300</v>
      </c>
      <c r="D56" s="56" t="s">
        <v>301</v>
      </c>
      <c r="E56" s="23">
        <v>66</v>
      </c>
      <c r="F56" s="23">
        <v>11</v>
      </c>
      <c r="G56" s="5" t="str">
        <f t="shared" si="5"/>
        <v>Seventy Seven</v>
      </c>
      <c r="H56" s="6">
        <f t="shared" si="1"/>
        <v>77</v>
      </c>
      <c r="I56" s="6" t="str">
        <f t="shared" si="6"/>
        <v>B+</v>
      </c>
      <c r="J56" s="8" t="str">
        <f t="shared" si="3"/>
        <v>+</v>
      </c>
      <c r="K56" s="9" t="str">
        <f t="shared" si="4"/>
        <v>Passes</v>
      </c>
      <c r="L56" s="18"/>
      <c r="M56" s="19"/>
      <c r="N56" s="14"/>
      <c r="O56" s="1"/>
      <c r="P56" s="1"/>
      <c r="Q56" s="1"/>
      <c r="R56" s="1"/>
      <c r="S56" s="1"/>
      <c r="T56" s="1"/>
      <c r="U56" s="21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s="7" customFormat="1" ht="18" customHeight="1">
      <c r="A57" s="12">
        <v>50</v>
      </c>
      <c r="B57" s="55" t="s">
        <v>302</v>
      </c>
      <c r="D57" s="56" t="s">
        <v>303</v>
      </c>
      <c r="E57" s="23">
        <v>58</v>
      </c>
      <c r="F57" s="23">
        <v>14</v>
      </c>
      <c r="G57" s="5" t="str">
        <f t="shared" si="5"/>
        <v>Seventy Two</v>
      </c>
      <c r="H57" s="6">
        <f t="shared" si="1"/>
        <v>72</v>
      </c>
      <c r="I57" s="6" t="str">
        <f t="shared" si="6"/>
        <v>B</v>
      </c>
      <c r="J57" s="8" t="str">
        <f t="shared" si="3"/>
        <v>-</v>
      </c>
      <c r="K57" s="9" t="str">
        <f t="shared" si="4"/>
        <v>Passes</v>
      </c>
      <c r="L57" s="18"/>
      <c r="M57" s="19"/>
      <c r="N57" s="14"/>
      <c r="O57" s="1"/>
      <c r="P57" s="1"/>
      <c r="Q57" s="1"/>
      <c r="R57" s="1"/>
      <c r="S57" s="1"/>
      <c r="T57" s="1"/>
      <c r="U57" s="21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s="7" customFormat="1" ht="18" customHeight="1">
      <c r="A58" s="12">
        <v>51</v>
      </c>
      <c r="B58" s="55" t="s">
        <v>304</v>
      </c>
      <c r="D58" s="56" t="s">
        <v>305</v>
      </c>
      <c r="E58" s="23">
        <v>52</v>
      </c>
      <c r="F58" s="23">
        <v>10</v>
      </c>
      <c r="G58" s="5" t="str">
        <f t="shared" si="5"/>
        <v>Sixty Two</v>
      </c>
      <c r="H58" s="6">
        <f t="shared" ref="H58:H63" si="7">SUM(E58:F58)</f>
        <v>62</v>
      </c>
      <c r="I58" s="6" t="str">
        <f t="shared" si="6"/>
        <v>C</v>
      </c>
      <c r="J58" s="8" t="str">
        <f t="shared" ref="J58:J63" si="8">IF(H58&gt;=90,"+",IF(H58&gt;=84,"-",IF(H58&gt;=75,"+",IF(H58&gt;=68,"-",IF(H58&gt;=64,"+",IF(H58&gt;=57,"-",IF(H58&gt;=53,"+"," ")))))))</f>
        <v>-</v>
      </c>
      <c r="K58" s="9" t="str">
        <f t="shared" ref="K58:K63" si="9">IF(AND(E58&lt;40,F58&lt;10),"Fail in Th. &amp; Pr.", IF(E58&lt;40,"Fail in Theory",IF(F58&lt;10,"Fail in Pract.", "Passes")))</f>
        <v>Passes</v>
      </c>
      <c r="L58" s="18"/>
      <c r="M58" s="19"/>
      <c r="N58" s="14"/>
      <c r="O58" s="1"/>
      <c r="P58" s="1"/>
      <c r="Q58" s="1"/>
      <c r="R58" s="1"/>
      <c r="S58" s="1"/>
      <c r="T58" s="1"/>
      <c r="U58" s="21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s="7" customFormat="1" ht="18" customHeight="1">
      <c r="A59" s="12">
        <v>52</v>
      </c>
      <c r="B59" s="55" t="s">
        <v>306</v>
      </c>
      <c r="D59" s="56" t="s">
        <v>307</v>
      </c>
      <c r="E59" s="23">
        <v>27.5</v>
      </c>
      <c r="F59" s="23">
        <v>8</v>
      </c>
      <c r="G59" s="5" t="str">
        <f t="shared" si="5"/>
        <v>Thirty Five</v>
      </c>
      <c r="H59" s="6">
        <f t="shared" si="7"/>
        <v>35.5</v>
      </c>
      <c r="I59" s="6" t="str">
        <f t="shared" si="6"/>
        <v>F</v>
      </c>
      <c r="J59" s="8" t="str">
        <f t="shared" si="8"/>
        <v xml:space="preserve"> </v>
      </c>
      <c r="K59" s="9" t="str">
        <f t="shared" si="9"/>
        <v>Fail in Th. &amp; Pr.</v>
      </c>
      <c r="L59" s="18"/>
      <c r="M59" s="19"/>
      <c r="N59" s="14"/>
      <c r="O59" s="1"/>
      <c r="P59" s="1"/>
      <c r="Q59" s="1"/>
      <c r="R59" s="1"/>
      <c r="S59" s="1"/>
      <c r="T59" s="1"/>
      <c r="U59" s="21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s="7" customFormat="1" ht="18" customHeight="1">
      <c r="A60" s="12">
        <v>53</v>
      </c>
      <c r="B60" s="55" t="s">
        <v>308</v>
      </c>
      <c r="D60" s="56" t="s">
        <v>309</v>
      </c>
      <c r="E60" s="23">
        <v>53</v>
      </c>
      <c r="F60" s="23">
        <v>10</v>
      </c>
      <c r="G60" s="5" t="str">
        <f t="shared" si="5"/>
        <v>Sixty Three</v>
      </c>
      <c r="H60" s="6">
        <f t="shared" si="7"/>
        <v>63</v>
      </c>
      <c r="I60" s="6" t="str">
        <f t="shared" si="6"/>
        <v>C</v>
      </c>
      <c r="J60" s="8" t="str">
        <f t="shared" si="8"/>
        <v>-</v>
      </c>
      <c r="K60" s="9" t="str">
        <f t="shared" si="9"/>
        <v>Passes</v>
      </c>
      <c r="L60" s="18"/>
      <c r="M60" s="19"/>
      <c r="N60" s="14"/>
      <c r="O60" s="1"/>
      <c r="P60" s="1"/>
      <c r="Q60" s="1"/>
      <c r="R60" s="1"/>
      <c r="S60" s="1"/>
      <c r="T60" s="1"/>
      <c r="U60" s="21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s="7" customFormat="1" ht="18" customHeight="1">
      <c r="A61" s="12">
        <v>54</v>
      </c>
      <c r="B61" s="55" t="s">
        <v>310</v>
      </c>
      <c r="D61" s="56" t="s">
        <v>311</v>
      </c>
      <c r="E61" s="23">
        <v>62.5</v>
      </c>
      <c r="F61" s="23">
        <v>10</v>
      </c>
      <c r="G61" s="5" t="str">
        <f t="shared" si="5"/>
        <v>Seventy Two</v>
      </c>
      <c r="H61" s="6">
        <f t="shared" si="7"/>
        <v>72.5</v>
      </c>
      <c r="I61" s="6" t="str">
        <f t="shared" si="6"/>
        <v>B</v>
      </c>
      <c r="J61" s="8" t="str">
        <f t="shared" si="8"/>
        <v>-</v>
      </c>
      <c r="K61" s="9" t="str">
        <f t="shared" si="9"/>
        <v>Passes</v>
      </c>
      <c r="L61" s="18"/>
      <c r="M61" s="19"/>
      <c r="N61" s="14"/>
      <c r="O61" s="1"/>
      <c r="P61" s="1"/>
      <c r="Q61" s="1"/>
      <c r="R61" s="1"/>
      <c r="S61" s="1"/>
      <c r="T61" s="1"/>
      <c r="U61" s="21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s="7" customFormat="1" ht="18" customHeight="1">
      <c r="A62" s="12">
        <v>55</v>
      </c>
      <c r="B62" s="55" t="s">
        <v>312</v>
      </c>
      <c r="D62" s="56" t="s">
        <v>313</v>
      </c>
      <c r="E62" s="23">
        <v>48</v>
      </c>
      <c r="F62" s="23">
        <v>10</v>
      </c>
      <c r="G62" s="5" t="str">
        <f t="shared" si="5"/>
        <v>Fifty Eight</v>
      </c>
      <c r="H62" s="6">
        <f t="shared" si="7"/>
        <v>58</v>
      </c>
      <c r="I62" s="6" t="str">
        <f t="shared" si="6"/>
        <v>C-</v>
      </c>
      <c r="J62" s="8" t="str">
        <f t="shared" si="8"/>
        <v>-</v>
      </c>
      <c r="K62" s="9" t="str">
        <f t="shared" si="9"/>
        <v>Passes</v>
      </c>
      <c r="L62" s="18"/>
      <c r="M62" s="19"/>
      <c r="N62" s="14"/>
      <c r="O62" s="1"/>
      <c r="P62" s="1"/>
      <c r="Q62" s="1"/>
      <c r="R62" s="1"/>
      <c r="S62" s="1"/>
      <c r="T62" s="1"/>
      <c r="U62" s="21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s="7" customFormat="1" ht="18" customHeight="1">
      <c r="A63" s="12">
        <v>56</v>
      </c>
      <c r="B63" s="55" t="s">
        <v>314</v>
      </c>
      <c r="D63" s="56" t="s">
        <v>315</v>
      </c>
      <c r="E63" s="41">
        <v>40</v>
      </c>
      <c r="F63" s="41">
        <v>10</v>
      </c>
      <c r="G63" s="42" t="str">
        <f t="shared" si="5"/>
        <v>Fifty only</v>
      </c>
      <c r="H63" s="43">
        <f t="shared" si="7"/>
        <v>50</v>
      </c>
      <c r="I63" s="43" t="str">
        <f t="shared" si="6"/>
        <v>D</v>
      </c>
      <c r="J63" s="44" t="str">
        <f t="shared" si="8"/>
        <v xml:space="preserve"> </v>
      </c>
      <c r="K63" s="45" t="str">
        <f t="shared" si="9"/>
        <v>Passes</v>
      </c>
      <c r="L63" s="18"/>
      <c r="M63" s="19"/>
      <c r="N63" s="14"/>
      <c r="O63" s="1"/>
      <c r="P63" s="1"/>
      <c r="Q63" s="1"/>
      <c r="R63" s="1"/>
      <c r="S63" s="1"/>
      <c r="T63" s="1"/>
      <c r="U63" s="21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ht="15.75">
      <c r="A64" s="12">
        <v>57</v>
      </c>
      <c r="B64" s="55" t="s">
        <v>316</v>
      </c>
      <c r="C64" s="49"/>
      <c r="D64" s="56" t="s">
        <v>317</v>
      </c>
      <c r="E64" s="41">
        <v>28</v>
      </c>
      <c r="F64" s="41">
        <v>7.25</v>
      </c>
      <c r="G64" s="42" t="str">
        <f t="shared" si="5"/>
        <v>Thirty Five</v>
      </c>
      <c r="H64" s="43">
        <f t="shared" ref="H64:H88" si="10">SUM(E64:F64)</f>
        <v>35.25</v>
      </c>
      <c r="I64" s="43" t="str">
        <f t="shared" si="6"/>
        <v>F</v>
      </c>
      <c r="J64" s="44" t="str">
        <f t="shared" ref="J64:J88" si="11">IF(H64&gt;=90,"+",IF(H64&gt;=84,"-",IF(H64&gt;=75,"+",IF(H64&gt;=68,"-",IF(H64&gt;=64,"+",IF(H64&gt;=57,"-",IF(H64&gt;=53,"+"," ")))))))</f>
        <v xml:space="preserve"> </v>
      </c>
      <c r="K64" s="45" t="str">
        <f t="shared" ref="K64:K88" si="12">IF(AND(E64&lt;40,F64&lt;10),"Fail in Th. &amp; Pr.", IF(E64&lt;40,"Fail in Theory",IF(F64&lt;10,"Fail in Pract.", "Passes")))</f>
        <v>Fail in Th. &amp; Pr.</v>
      </c>
    </row>
    <row r="65" spans="1:41" ht="15.75">
      <c r="A65" s="12">
        <v>58</v>
      </c>
      <c r="B65" s="55" t="s">
        <v>318</v>
      </c>
      <c r="C65" s="49"/>
      <c r="D65" s="56" t="s">
        <v>319</v>
      </c>
      <c r="E65" s="41">
        <v>40</v>
      </c>
      <c r="F65" s="41">
        <v>10</v>
      </c>
      <c r="G65" s="42" t="str">
        <f t="shared" si="5"/>
        <v>Fifty only</v>
      </c>
      <c r="H65" s="43">
        <f t="shared" si="10"/>
        <v>50</v>
      </c>
      <c r="I65" s="43" t="str">
        <f t="shared" si="6"/>
        <v>D</v>
      </c>
      <c r="J65" s="44" t="str">
        <f t="shared" si="11"/>
        <v xml:space="preserve"> </v>
      </c>
      <c r="K65" s="45" t="str">
        <f t="shared" si="12"/>
        <v>Passes</v>
      </c>
    </row>
    <row r="66" spans="1:41" ht="15.75">
      <c r="A66" s="12">
        <v>59</v>
      </c>
      <c r="B66" s="55" t="s">
        <v>320</v>
      </c>
      <c r="C66" s="49"/>
      <c r="D66" s="56" t="s">
        <v>321</v>
      </c>
      <c r="E66" s="41">
        <v>75</v>
      </c>
      <c r="F66" s="41">
        <v>11.5</v>
      </c>
      <c r="G66" s="42" t="str">
        <f t="shared" si="5"/>
        <v>Eighty Six</v>
      </c>
      <c r="H66" s="43">
        <f t="shared" si="10"/>
        <v>86.5</v>
      </c>
      <c r="I66" s="43" t="str">
        <f t="shared" si="6"/>
        <v>A</v>
      </c>
      <c r="J66" s="44" t="str">
        <f t="shared" si="11"/>
        <v>-</v>
      </c>
      <c r="K66" s="45" t="str">
        <f t="shared" si="12"/>
        <v>Passes</v>
      </c>
    </row>
    <row r="67" spans="1:41" ht="15.75">
      <c r="A67" s="12">
        <v>60</v>
      </c>
      <c r="B67" s="55" t="s">
        <v>322</v>
      </c>
      <c r="C67" s="49"/>
      <c r="D67" s="56" t="s">
        <v>323</v>
      </c>
      <c r="E67" s="41">
        <v>41.5</v>
      </c>
      <c r="F67" s="41">
        <v>8.25</v>
      </c>
      <c r="G67" s="42" t="str">
        <f t="shared" si="5"/>
        <v>Forty Nine</v>
      </c>
      <c r="H67" s="43">
        <f t="shared" si="10"/>
        <v>49.75</v>
      </c>
      <c r="I67" s="43" t="str">
        <f t="shared" si="6"/>
        <v>F</v>
      </c>
      <c r="J67" s="44" t="str">
        <f t="shared" si="11"/>
        <v xml:space="preserve"> </v>
      </c>
      <c r="K67" s="45" t="str">
        <f t="shared" si="12"/>
        <v>Fail in Pract.</v>
      </c>
    </row>
    <row r="68" spans="1:41" ht="15.75">
      <c r="A68" s="12">
        <v>61</v>
      </c>
      <c r="B68" s="55" t="s">
        <v>324</v>
      </c>
      <c r="C68" s="49"/>
      <c r="D68" s="56" t="s">
        <v>325</v>
      </c>
      <c r="E68" s="41">
        <v>56</v>
      </c>
      <c r="F68" s="41">
        <v>6.25</v>
      </c>
      <c r="G68" s="42" t="str">
        <f t="shared" si="5"/>
        <v>Sixty Two</v>
      </c>
      <c r="H68" s="43">
        <f t="shared" si="10"/>
        <v>62.25</v>
      </c>
      <c r="I68" s="43" t="str">
        <f t="shared" si="6"/>
        <v>C</v>
      </c>
      <c r="J68" s="44" t="str">
        <f t="shared" si="11"/>
        <v>-</v>
      </c>
      <c r="K68" s="45" t="str">
        <f t="shared" si="12"/>
        <v>Fail in Pract.</v>
      </c>
    </row>
    <row r="69" spans="1:41" ht="15.75">
      <c r="A69" s="12">
        <v>62</v>
      </c>
      <c r="B69" s="55" t="s">
        <v>326</v>
      </c>
      <c r="C69" s="49"/>
      <c r="D69" s="56" t="s">
        <v>327</v>
      </c>
      <c r="E69" s="41">
        <v>61</v>
      </c>
      <c r="F69" s="41">
        <v>10</v>
      </c>
      <c r="G69" s="42" t="str">
        <f t="shared" ref="G69:G88" si="13">VLOOKUP(H69,$B$151:$C$252,2,TRUE)</f>
        <v>Seventy One</v>
      </c>
      <c r="H69" s="43">
        <f t="shared" si="10"/>
        <v>71</v>
      </c>
      <c r="I69" s="43" t="str">
        <f t="shared" ref="I69:I88" si="14">VLOOKUP(H69,$F$151:$G$252,2,TRUE)</f>
        <v>B</v>
      </c>
      <c r="J69" s="44" t="str">
        <f t="shared" si="11"/>
        <v>-</v>
      </c>
      <c r="K69" s="45" t="str">
        <f t="shared" si="12"/>
        <v>Passes</v>
      </c>
    </row>
    <row r="70" spans="1:41" ht="15.75">
      <c r="A70" s="12">
        <v>63</v>
      </c>
      <c r="B70" s="55" t="s">
        <v>328</v>
      </c>
      <c r="C70" s="49"/>
      <c r="D70" s="56" t="s">
        <v>329</v>
      </c>
      <c r="E70" s="41">
        <v>63</v>
      </c>
      <c r="F70" s="41">
        <v>10</v>
      </c>
      <c r="G70" s="42" t="str">
        <f t="shared" si="13"/>
        <v>Seventy Three</v>
      </c>
      <c r="H70" s="43">
        <f t="shared" si="10"/>
        <v>73</v>
      </c>
      <c r="I70" s="43" t="str">
        <f t="shared" si="14"/>
        <v>B</v>
      </c>
      <c r="J70" s="44" t="str">
        <f t="shared" si="11"/>
        <v>-</v>
      </c>
      <c r="K70" s="45" t="str">
        <f t="shared" si="12"/>
        <v>Passes</v>
      </c>
    </row>
    <row r="71" spans="1:41" ht="15.75">
      <c r="A71" s="12">
        <v>64</v>
      </c>
      <c r="B71" s="55" t="s">
        <v>330</v>
      </c>
      <c r="C71" s="49"/>
      <c r="D71" s="56" t="s">
        <v>331</v>
      </c>
      <c r="E71" s="41">
        <v>47</v>
      </c>
      <c r="F71" s="41">
        <v>10.5</v>
      </c>
      <c r="G71" s="42" t="str">
        <f t="shared" si="13"/>
        <v>Fifty Seven</v>
      </c>
      <c r="H71" s="43">
        <f t="shared" si="10"/>
        <v>57.5</v>
      </c>
      <c r="I71" s="43" t="str">
        <f t="shared" si="14"/>
        <v>C-</v>
      </c>
      <c r="J71" s="44" t="str">
        <f t="shared" si="11"/>
        <v>-</v>
      </c>
      <c r="K71" s="45" t="str">
        <f t="shared" si="12"/>
        <v>Passes</v>
      </c>
    </row>
    <row r="72" spans="1:41" ht="15.75">
      <c r="A72" s="12">
        <v>65</v>
      </c>
      <c r="B72" s="55" t="s">
        <v>332</v>
      </c>
      <c r="C72" s="49"/>
      <c r="D72" s="56" t="s">
        <v>333</v>
      </c>
      <c r="E72" s="41">
        <v>40</v>
      </c>
      <c r="F72" s="41">
        <v>10</v>
      </c>
      <c r="G72" s="42" t="str">
        <f t="shared" si="13"/>
        <v>Fifty only</v>
      </c>
      <c r="H72" s="43">
        <f t="shared" si="10"/>
        <v>50</v>
      </c>
      <c r="I72" s="43" t="str">
        <f t="shared" si="14"/>
        <v>D</v>
      </c>
      <c r="J72" s="44" t="str">
        <f t="shared" si="11"/>
        <v xml:space="preserve"> </v>
      </c>
      <c r="K72" s="45" t="str">
        <f t="shared" si="12"/>
        <v>Passes</v>
      </c>
    </row>
    <row r="73" spans="1:41" ht="15.75">
      <c r="A73" s="12">
        <v>66</v>
      </c>
      <c r="B73" s="55" t="s">
        <v>334</v>
      </c>
      <c r="C73" s="49"/>
      <c r="D73" s="56" t="s">
        <v>335</v>
      </c>
      <c r="E73" s="41">
        <v>73</v>
      </c>
      <c r="F73" s="41">
        <v>14.25</v>
      </c>
      <c r="G73" s="42" t="str">
        <f t="shared" si="13"/>
        <v>Eighty Seven</v>
      </c>
      <c r="H73" s="43">
        <f t="shared" si="10"/>
        <v>87.25</v>
      </c>
      <c r="I73" s="43" t="str">
        <f t="shared" si="14"/>
        <v>A</v>
      </c>
      <c r="J73" s="44" t="str">
        <f t="shared" si="11"/>
        <v>-</v>
      </c>
      <c r="K73" s="45" t="str">
        <f t="shared" si="12"/>
        <v>Passes</v>
      </c>
    </row>
    <row r="74" spans="1:41" ht="15.75">
      <c r="A74" s="12">
        <v>67</v>
      </c>
      <c r="B74" s="55" t="s">
        <v>336</v>
      </c>
      <c r="C74" s="49"/>
      <c r="D74" s="56" t="s">
        <v>337</v>
      </c>
      <c r="E74" s="41">
        <v>15</v>
      </c>
      <c r="F74" s="41">
        <v>2</v>
      </c>
      <c r="G74" s="42" t="str">
        <f t="shared" si="13"/>
        <v>Seventeen</v>
      </c>
      <c r="H74" s="43">
        <f t="shared" si="10"/>
        <v>17</v>
      </c>
      <c r="I74" s="43" t="str">
        <f t="shared" si="14"/>
        <v>F</v>
      </c>
      <c r="J74" s="44" t="str">
        <f t="shared" si="11"/>
        <v xml:space="preserve"> </v>
      </c>
      <c r="K74" s="45" t="str">
        <f t="shared" si="12"/>
        <v>Fail in Th. &amp; Pr.</v>
      </c>
    </row>
    <row r="75" spans="1:41" ht="15.75">
      <c r="A75" s="12">
        <v>68</v>
      </c>
      <c r="B75" s="55" t="s">
        <v>338</v>
      </c>
      <c r="C75" s="49"/>
      <c r="D75" s="56" t="s">
        <v>339</v>
      </c>
      <c r="E75" s="41">
        <v>72</v>
      </c>
      <c r="F75" s="41">
        <v>10.75</v>
      </c>
      <c r="G75" s="42" t="str">
        <f t="shared" si="13"/>
        <v>Eighty Two</v>
      </c>
      <c r="H75" s="43">
        <f t="shared" si="10"/>
        <v>82.75</v>
      </c>
      <c r="I75" s="43" t="str">
        <f t="shared" si="14"/>
        <v>A-</v>
      </c>
      <c r="J75" s="44" t="str">
        <f t="shared" si="11"/>
        <v>+</v>
      </c>
      <c r="K75" s="45" t="str">
        <f t="shared" si="12"/>
        <v>Passes</v>
      </c>
      <c r="M75" s="15"/>
      <c r="N75" s="1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>
      <c r="A76" s="12">
        <v>69</v>
      </c>
      <c r="B76" s="55" t="s">
        <v>340</v>
      </c>
      <c r="C76" s="49"/>
      <c r="D76" s="56" t="s">
        <v>341</v>
      </c>
      <c r="E76" s="41">
        <v>52</v>
      </c>
      <c r="F76" s="41">
        <v>10</v>
      </c>
      <c r="G76" s="42" t="str">
        <f t="shared" si="13"/>
        <v>Sixty Two</v>
      </c>
      <c r="H76" s="43">
        <f t="shared" si="10"/>
        <v>62</v>
      </c>
      <c r="I76" s="43" t="str">
        <f t="shared" si="14"/>
        <v>C</v>
      </c>
      <c r="J76" s="44" t="str">
        <f t="shared" si="11"/>
        <v>-</v>
      </c>
      <c r="K76" s="45" t="str">
        <f t="shared" si="12"/>
        <v>Passes</v>
      </c>
      <c r="M76" s="15"/>
      <c r="N76" s="1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>
      <c r="A77" s="12">
        <v>70</v>
      </c>
      <c r="B77" s="55" t="s">
        <v>342</v>
      </c>
      <c r="C77" s="49"/>
      <c r="D77" s="56" t="s">
        <v>343</v>
      </c>
      <c r="E77" s="41">
        <v>71</v>
      </c>
      <c r="F77" s="41">
        <v>10.25</v>
      </c>
      <c r="G77" s="42" t="str">
        <f t="shared" si="13"/>
        <v>Eighty One</v>
      </c>
      <c r="H77" s="43">
        <f t="shared" si="10"/>
        <v>81.25</v>
      </c>
      <c r="I77" s="43" t="str">
        <f t="shared" si="14"/>
        <v>A-</v>
      </c>
      <c r="J77" s="44" t="str">
        <f t="shared" si="11"/>
        <v>+</v>
      </c>
      <c r="K77" s="45" t="str">
        <f t="shared" si="12"/>
        <v>Passes</v>
      </c>
      <c r="M77" s="15"/>
      <c r="N77" s="1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>
      <c r="A78" s="12">
        <v>71</v>
      </c>
      <c r="B78" s="55" t="s">
        <v>344</v>
      </c>
      <c r="C78" s="49"/>
      <c r="D78" s="56" t="s">
        <v>345</v>
      </c>
      <c r="E78" s="41">
        <v>46</v>
      </c>
      <c r="F78" s="41">
        <v>10</v>
      </c>
      <c r="G78" s="42" t="str">
        <f t="shared" si="13"/>
        <v>Fifty Six</v>
      </c>
      <c r="H78" s="43">
        <f t="shared" si="10"/>
        <v>56</v>
      </c>
      <c r="I78" s="43" t="str">
        <f t="shared" si="14"/>
        <v>D+</v>
      </c>
      <c r="J78" s="44" t="str">
        <f t="shared" si="11"/>
        <v>+</v>
      </c>
      <c r="K78" s="45" t="str">
        <f t="shared" si="12"/>
        <v>Passes</v>
      </c>
      <c r="M78" s="15"/>
      <c r="N78" s="1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>
      <c r="A79" s="12">
        <v>72</v>
      </c>
      <c r="B79" s="55" t="s">
        <v>346</v>
      </c>
      <c r="C79" s="49"/>
      <c r="D79" s="56" t="s">
        <v>347</v>
      </c>
      <c r="E79" s="41">
        <v>59</v>
      </c>
      <c r="F79" s="41">
        <v>10</v>
      </c>
      <c r="G79" s="42" t="str">
        <f t="shared" si="13"/>
        <v>Sixty Nine</v>
      </c>
      <c r="H79" s="43">
        <f t="shared" si="10"/>
        <v>69</v>
      </c>
      <c r="I79" s="43" t="str">
        <f t="shared" si="14"/>
        <v>B-</v>
      </c>
      <c r="J79" s="44" t="str">
        <f t="shared" si="11"/>
        <v>-</v>
      </c>
      <c r="K79" s="45" t="str">
        <f t="shared" si="12"/>
        <v>Passes</v>
      </c>
      <c r="M79" s="15"/>
      <c r="N79" s="1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>
      <c r="A80" s="12">
        <v>73</v>
      </c>
      <c r="B80" s="55" t="s">
        <v>348</v>
      </c>
      <c r="C80" s="49"/>
      <c r="D80" s="56" t="s">
        <v>349</v>
      </c>
      <c r="E80" s="41">
        <v>69</v>
      </c>
      <c r="F80" s="41">
        <v>10</v>
      </c>
      <c r="G80" s="42" t="str">
        <f t="shared" si="13"/>
        <v>Seventy Nine</v>
      </c>
      <c r="H80" s="43">
        <f t="shared" si="10"/>
        <v>79</v>
      </c>
      <c r="I80" s="43" t="str">
        <f t="shared" si="14"/>
        <v>B+</v>
      </c>
      <c r="J80" s="44" t="str">
        <f t="shared" si="11"/>
        <v>+</v>
      </c>
      <c r="K80" s="45" t="str">
        <f t="shared" si="12"/>
        <v>Passes</v>
      </c>
      <c r="M80" s="15"/>
      <c r="N80" s="1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>
      <c r="A81" s="12">
        <v>74</v>
      </c>
      <c r="B81" s="55" t="s">
        <v>350</v>
      </c>
      <c r="C81" s="49"/>
      <c r="D81" s="56" t="s">
        <v>351</v>
      </c>
      <c r="E81" s="41">
        <v>53</v>
      </c>
      <c r="F81" s="41">
        <v>12.5</v>
      </c>
      <c r="G81" s="42" t="str">
        <f t="shared" si="13"/>
        <v>Sixty Five</v>
      </c>
      <c r="H81" s="43">
        <f t="shared" si="10"/>
        <v>65.5</v>
      </c>
      <c r="I81" s="43" t="str">
        <f t="shared" si="14"/>
        <v>C+</v>
      </c>
      <c r="J81" s="44" t="str">
        <f t="shared" si="11"/>
        <v>+</v>
      </c>
      <c r="K81" s="45" t="str">
        <f t="shared" si="12"/>
        <v>Passes</v>
      </c>
      <c r="M81" s="15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28.5">
      <c r="A82" s="12">
        <v>75</v>
      </c>
      <c r="B82" s="55" t="s">
        <v>352</v>
      </c>
      <c r="C82" s="49"/>
      <c r="D82" s="56" t="s">
        <v>353</v>
      </c>
      <c r="E82" s="41">
        <v>40</v>
      </c>
      <c r="F82" s="41">
        <v>10</v>
      </c>
      <c r="G82" s="42" t="str">
        <f t="shared" si="13"/>
        <v>Fifty only</v>
      </c>
      <c r="H82" s="43">
        <f t="shared" si="10"/>
        <v>50</v>
      </c>
      <c r="I82" s="43" t="str">
        <f t="shared" si="14"/>
        <v>D</v>
      </c>
      <c r="J82" s="44" t="str">
        <f t="shared" si="11"/>
        <v xml:space="preserve"> </v>
      </c>
      <c r="K82" s="45" t="str">
        <f t="shared" si="12"/>
        <v>Passes</v>
      </c>
      <c r="M82" s="15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>
      <c r="A83" s="12">
        <v>76</v>
      </c>
      <c r="B83" s="55" t="s">
        <v>354</v>
      </c>
      <c r="C83" s="57"/>
      <c r="D83" s="56" t="s">
        <v>355</v>
      </c>
      <c r="E83" s="41">
        <v>65.5</v>
      </c>
      <c r="F83" s="41">
        <v>15.25</v>
      </c>
      <c r="G83" s="42" t="str">
        <f t="shared" si="13"/>
        <v>Eighty only</v>
      </c>
      <c r="H83" s="43">
        <f t="shared" si="10"/>
        <v>80.75</v>
      </c>
      <c r="I83" s="43" t="str">
        <f t="shared" si="14"/>
        <v>A-</v>
      </c>
      <c r="J83" s="44" t="str">
        <f t="shared" si="11"/>
        <v>+</v>
      </c>
      <c r="K83" s="45" t="str">
        <f t="shared" si="12"/>
        <v>Passes</v>
      </c>
      <c r="M83" s="15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>
      <c r="A84" s="12">
        <v>77</v>
      </c>
      <c r="B84" s="55" t="s">
        <v>356</v>
      </c>
      <c r="C84" s="57"/>
      <c r="D84" s="56" t="s">
        <v>357</v>
      </c>
      <c r="E84" s="41">
        <v>35.5</v>
      </c>
      <c r="F84" s="41">
        <v>8.25</v>
      </c>
      <c r="G84" s="42" t="str">
        <f t="shared" si="13"/>
        <v>Forty Three</v>
      </c>
      <c r="H84" s="43">
        <f t="shared" si="10"/>
        <v>43.75</v>
      </c>
      <c r="I84" s="43" t="str">
        <f t="shared" si="14"/>
        <v>F</v>
      </c>
      <c r="J84" s="44" t="str">
        <f t="shared" si="11"/>
        <v xml:space="preserve"> </v>
      </c>
      <c r="K84" s="45" t="str">
        <f t="shared" si="12"/>
        <v>Fail in Th. &amp; Pr.</v>
      </c>
      <c r="M84" s="15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>
      <c r="A85" s="12">
        <v>78</v>
      </c>
      <c r="B85" s="55" t="s">
        <v>358</v>
      </c>
      <c r="C85" s="20"/>
      <c r="D85" s="56" t="s">
        <v>359</v>
      </c>
      <c r="E85" s="41">
        <v>36</v>
      </c>
      <c r="F85" s="41">
        <v>10</v>
      </c>
      <c r="G85" s="42" t="str">
        <f t="shared" si="13"/>
        <v>Forty Six</v>
      </c>
      <c r="H85" s="43">
        <f t="shared" si="10"/>
        <v>46</v>
      </c>
      <c r="I85" s="43" t="str">
        <f t="shared" si="14"/>
        <v>F</v>
      </c>
      <c r="J85" s="44" t="str">
        <f t="shared" si="11"/>
        <v xml:space="preserve"> </v>
      </c>
      <c r="K85" s="45" t="str">
        <f t="shared" si="12"/>
        <v>Fail in Theory</v>
      </c>
      <c r="M85" s="15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>
      <c r="A86" s="12">
        <v>79</v>
      </c>
      <c r="B86" s="55" t="s">
        <v>360</v>
      </c>
      <c r="C86" s="20"/>
      <c r="D86" s="56" t="s">
        <v>361</v>
      </c>
      <c r="E86" s="41">
        <v>52</v>
      </c>
      <c r="F86" s="41">
        <v>10.75</v>
      </c>
      <c r="G86" s="42" t="str">
        <f t="shared" si="13"/>
        <v>Sixty Two</v>
      </c>
      <c r="H86" s="43">
        <f t="shared" si="10"/>
        <v>62.75</v>
      </c>
      <c r="I86" s="43" t="str">
        <f t="shared" si="14"/>
        <v>C</v>
      </c>
      <c r="J86" s="44" t="str">
        <f t="shared" si="11"/>
        <v>-</v>
      </c>
      <c r="K86" s="45" t="str">
        <f t="shared" si="12"/>
        <v>Passes</v>
      </c>
      <c r="M86" s="15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>
      <c r="A87" s="12">
        <v>80</v>
      </c>
      <c r="B87" s="55" t="s">
        <v>362</v>
      </c>
      <c r="C87" s="20"/>
      <c r="D87" s="56" t="s">
        <v>363</v>
      </c>
      <c r="E87" s="41">
        <v>74.5</v>
      </c>
      <c r="F87" s="41">
        <v>14.5</v>
      </c>
      <c r="G87" s="42" t="str">
        <f t="shared" si="13"/>
        <v>Eighty Nine</v>
      </c>
      <c r="H87" s="43">
        <f t="shared" si="10"/>
        <v>89</v>
      </c>
      <c r="I87" s="43" t="str">
        <f t="shared" si="14"/>
        <v>A</v>
      </c>
      <c r="J87" s="44" t="str">
        <f t="shared" si="11"/>
        <v>-</v>
      </c>
      <c r="K87" s="45" t="str">
        <f t="shared" si="12"/>
        <v>Passes</v>
      </c>
      <c r="M87" s="15"/>
      <c r="N87" s="1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>
      <c r="A88" s="12">
        <v>81</v>
      </c>
      <c r="B88" s="55" t="s">
        <v>364</v>
      </c>
      <c r="C88" s="20"/>
      <c r="D88" s="56" t="s">
        <v>365</v>
      </c>
      <c r="E88" s="23">
        <v>60</v>
      </c>
      <c r="F88" s="23">
        <v>13.5</v>
      </c>
      <c r="G88" s="5" t="str">
        <f t="shared" si="13"/>
        <v>Seventy Three</v>
      </c>
      <c r="H88" s="6">
        <f t="shared" si="10"/>
        <v>73.5</v>
      </c>
      <c r="I88" s="6" t="str">
        <f t="shared" si="14"/>
        <v>B</v>
      </c>
      <c r="J88" s="8" t="str">
        <f t="shared" si="11"/>
        <v>-</v>
      </c>
      <c r="K88" s="9" t="str">
        <f t="shared" si="12"/>
        <v>Passes</v>
      </c>
      <c r="M88" s="15"/>
      <c r="N88" s="1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>
      <c r="A89" s="12">
        <v>82</v>
      </c>
      <c r="B89" s="55" t="s">
        <v>366</v>
      </c>
      <c r="C89" s="20"/>
      <c r="D89" s="56" t="s">
        <v>367</v>
      </c>
      <c r="E89" s="23">
        <v>62</v>
      </c>
      <c r="F89" s="23">
        <v>10</v>
      </c>
      <c r="G89" s="5" t="str">
        <f t="shared" ref="G89:G91" si="15">VLOOKUP(H89,$B$151:$C$252,2,TRUE)</f>
        <v>Seventy Two</v>
      </c>
      <c r="H89" s="6">
        <f t="shared" ref="H89:H91" si="16">SUM(E89:F89)</f>
        <v>72</v>
      </c>
      <c r="I89" s="6" t="str">
        <f t="shared" ref="I89:I91" si="17">VLOOKUP(H89,$F$151:$G$252,2,TRUE)</f>
        <v>B</v>
      </c>
      <c r="J89" s="8" t="str">
        <f t="shared" ref="J89:J91" si="18">IF(H89&gt;=90,"+",IF(H89&gt;=84,"-",IF(H89&gt;=75,"+",IF(H89&gt;=68,"-",IF(H89&gt;=64,"+",IF(H89&gt;=57,"-",IF(H89&gt;=53,"+"," ")))))))</f>
        <v>-</v>
      </c>
      <c r="K89" s="9" t="str">
        <f t="shared" ref="K89:K91" si="19">IF(AND(E89&lt;40,F89&lt;10),"Fail in Th. &amp; Pr.", IF(E89&lt;40,"Fail in Theory",IF(F89&lt;10,"Fail in Pract.", "Passes")))</f>
        <v>Passes</v>
      </c>
      <c r="M89" s="15"/>
      <c r="N89" s="1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>
      <c r="A90" s="12">
        <v>83</v>
      </c>
      <c r="B90" s="55" t="s">
        <v>368</v>
      </c>
      <c r="C90" s="20"/>
      <c r="D90" s="56" t="s">
        <v>369</v>
      </c>
      <c r="E90" s="23">
        <v>55.5</v>
      </c>
      <c r="F90" s="23">
        <v>10</v>
      </c>
      <c r="G90" s="5" t="str">
        <f t="shared" si="15"/>
        <v>Sixty Five</v>
      </c>
      <c r="H90" s="6">
        <f t="shared" si="16"/>
        <v>65.5</v>
      </c>
      <c r="I90" s="6" t="str">
        <f t="shared" si="17"/>
        <v>C+</v>
      </c>
      <c r="J90" s="8" t="str">
        <f t="shared" si="18"/>
        <v>+</v>
      </c>
      <c r="K90" s="9" t="str">
        <f t="shared" si="19"/>
        <v>Passes</v>
      </c>
      <c r="M90" s="15"/>
      <c r="N90" s="1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>
      <c r="A91" s="12"/>
      <c r="B91" s="55" t="s">
        <v>375</v>
      </c>
      <c r="C91" s="20"/>
      <c r="D91" s="56" t="s">
        <v>376</v>
      </c>
      <c r="E91" s="23">
        <v>18</v>
      </c>
      <c r="F91" s="23">
        <v>2</v>
      </c>
      <c r="G91" s="5" t="str">
        <f t="shared" si="15"/>
        <v>Twenty only</v>
      </c>
      <c r="H91" s="6">
        <f t="shared" si="16"/>
        <v>20</v>
      </c>
      <c r="I91" s="6" t="str">
        <f t="shared" si="17"/>
        <v>F</v>
      </c>
      <c r="J91" s="8" t="str">
        <f t="shared" si="18"/>
        <v xml:space="preserve"> </v>
      </c>
      <c r="K91" s="9" t="str">
        <f t="shared" si="19"/>
        <v>Fail in Th. &amp; Pr.</v>
      </c>
      <c r="M91" s="15"/>
      <c r="N91" s="1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>
      <c r="A92" s="12"/>
      <c r="B92" s="55" t="s">
        <v>377</v>
      </c>
      <c r="C92" s="10"/>
      <c r="D92" s="39" t="s">
        <v>378</v>
      </c>
      <c r="E92" s="23">
        <v>32</v>
      </c>
      <c r="F92" s="23">
        <v>6</v>
      </c>
      <c r="G92" s="5" t="str">
        <f t="shared" ref="G92" si="20">VLOOKUP(H92,$B$151:$C$252,2,TRUE)</f>
        <v>Thirty Eight</v>
      </c>
      <c r="H92" s="6">
        <f t="shared" ref="H92" si="21">SUM(E92:F92)</f>
        <v>38</v>
      </c>
      <c r="I92" s="6" t="str">
        <f t="shared" ref="I92" si="22">VLOOKUP(H92,$F$151:$G$252,2,TRUE)</f>
        <v>F</v>
      </c>
      <c r="J92" s="8" t="str">
        <f t="shared" ref="J92" si="23">IF(H92&gt;=90,"+",IF(H92&gt;=84,"-",IF(H92&gt;=75,"+",IF(H92&gt;=68,"-",IF(H92&gt;=64,"+",IF(H92&gt;=57,"-",IF(H92&gt;=53,"+"," ")))))))</f>
        <v xml:space="preserve"> </v>
      </c>
      <c r="K92" s="9" t="str">
        <f t="shared" ref="K92" si="24">IF(AND(E92&lt;40,F92&lt;10),"Fail in Th. &amp; Pr.", IF(E92&lt;40,"Fail in Theory",IF(F92&lt;10,"Fail in Pract.", "Passes")))</f>
        <v>Fail in Th. &amp; Pr.</v>
      </c>
      <c r="M92" s="15"/>
      <c r="N92" s="1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>
      <c r="A93" s="12"/>
      <c r="B93" s="55" t="s">
        <v>379</v>
      </c>
      <c r="C93" s="10"/>
      <c r="D93" s="39" t="s">
        <v>380</v>
      </c>
      <c r="E93" s="23">
        <v>12</v>
      </c>
      <c r="F93" s="23">
        <v>2</v>
      </c>
      <c r="G93" s="5" t="str">
        <f t="shared" ref="G93" si="25">VLOOKUP(H93,$B$151:$C$252,2,TRUE)</f>
        <v>Fourteen</v>
      </c>
      <c r="H93" s="6">
        <f t="shared" ref="H93" si="26">SUM(E93:F93)</f>
        <v>14</v>
      </c>
      <c r="I93" s="6" t="str">
        <f t="shared" ref="I93" si="27">VLOOKUP(H93,$F$151:$G$252,2,TRUE)</f>
        <v>F</v>
      </c>
      <c r="J93" s="8" t="str">
        <f t="shared" ref="J93" si="28">IF(H93&gt;=90,"+",IF(H93&gt;=84,"-",IF(H93&gt;=75,"+",IF(H93&gt;=68,"-",IF(H93&gt;=64,"+",IF(H93&gt;=57,"-",IF(H93&gt;=53,"+"," ")))))))</f>
        <v xml:space="preserve"> </v>
      </c>
      <c r="K93" s="9" t="str">
        <f t="shared" ref="K93" si="29">IF(AND(E93&lt;40,F93&lt;10),"Fail in Th. &amp; Pr.", IF(E93&lt;40,"Fail in Theory",IF(F93&lt;10,"Fail in Pract.", "Passes")))</f>
        <v>Fail in Th. &amp; Pr.</v>
      </c>
      <c r="M93" s="15"/>
      <c r="N93" s="1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>
      <c r="A94" s="12"/>
      <c r="B94" s="38"/>
      <c r="C94" s="10"/>
      <c r="D94" s="39"/>
      <c r="E94" s="23"/>
      <c r="F94" s="23"/>
      <c r="G94" s="5" t="str">
        <f t="shared" ref="G94" si="30">VLOOKUP(H94,$B$151:$C$252,2,TRUE)</f>
        <v>Zero</v>
      </c>
      <c r="H94" s="6">
        <f t="shared" ref="H94" si="31">SUM(E94:F94)</f>
        <v>0</v>
      </c>
      <c r="I94" s="6" t="str">
        <f t="shared" ref="I94" si="32">VLOOKUP(H94,$F$151:$G$252,2,TRUE)</f>
        <v>F</v>
      </c>
      <c r="J94" s="8" t="str">
        <f t="shared" ref="J94" si="33">IF(H94&gt;=90,"+",IF(H94&gt;=84,"-",IF(H94&gt;=75,"+",IF(H94&gt;=68,"-",IF(H94&gt;=64,"+",IF(H94&gt;=57,"-",IF(H94&gt;=53,"+"," ")))))))</f>
        <v xml:space="preserve"> </v>
      </c>
      <c r="K94" s="9" t="str">
        <f t="shared" ref="K94" si="34">IF(AND(E94&lt;40,F94&lt;10),"Fail in Th. &amp; Pr.", IF(E94&lt;40,"Fail in Theory",IF(F94&lt;10,"Fail in Pract.", "Passes")))</f>
        <v>Fail in Th. &amp; Pr.</v>
      </c>
      <c r="M94" s="15"/>
      <c r="N94" s="1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>
      <c r="A95" s="12"/>
      <c r="B95" s="38"/>
      <c r="C95" s="10"/>
      <c r="D95" s="39"/>
      <c r="E95" s="23"/>
      <c r="F95" s="23"/>
      <c r="G95" s="5" t="str">
        <f t="shared" ref="G95" si="35">VLOOKUP(H95,$B$151:$C$252,2,TRUE)</f>
        <v>Zero</v>
      </c>
      <c r="H95" s="6">
        <f t="shared" ref="H95" si="36">SUM(E95:F95)</f>
        <v>0</v>
      </c>
      <c r="I95" s="6" t="str">
        <f t="shared" ref="I95" si="37">VLOOKUP(H95,$F$151:$G$252,2,TRUE)</f>
        <v>F</v>
      </c>
      <c r="J95" s="8" t="str">
        <f t="shared" ref="J95" si="38">IF(H95&gt;=90,"+",IF(H95&gt;=84,"-",IF(H95&gt;=75,"+",IF(H95&gt;=68,"-",IF(H95&gt;=64,"+",IF(H95&gt;=57,"-",IF(H95&gt;=53,"+"," ")))))))</f>
        <v xml:space="preserve"> </v>
      </c>
      <c r="K95" s="9" t="str">
        <f t="shared" ref="K95" si="39">IF(AND(E95&lt;40,F95&lt;10),"Fail in Th. &amp; Pr.", IF(E95&lt;40,"Fail in Theory",IF(F95&lt;10,"Fail in Pract.", "Passes")))</f>
        <v>Fail in Th. &amp; Pr.</v>
      </c>
      <c r="M95" s="15"/>
      <c r="N95" s="1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M96" s="15"/>
      <c r="N96" s="1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M97" s="15"/>
      <c r="N97" s="1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M98" s="15"/>
      <c r="N98" s="1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M99" s="15"/>
      <c r="N99" s="1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M100" s="15"/>
      <c r="N100" s="1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M101" s="15"/>
      <c r="N101" s="1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M102" s="15"/>
      <c r="N102" s="1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M103" s="15"/>
      <c r="N103" s="1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M104" s="15"/>
      <c r="N104" s="1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M105" s="15"/>
      <c r="N105" s="1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M106" s="15"/>
      <c r="N106" s="1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M107" s="15"/>
      <c r="N107" s="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M108" s="15"/>
      <c r="N108" s="1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M109" s="15"/>
      <c r="N109" s="1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M110" s="15"/>
      <c r="N110" s="1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M111" s="15"/>
      <c r="N111" s="1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M112" s="15"/>
      <c r="N112" s="1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M113" s="15"/>
      <c r="N113" s="1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M114" s="15"/>
      <c r="N114" s="1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M115" s="15"/>
      <c r="N115" s="1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M116" s="15"/>
      <c r="N116" s="1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M117" s="15"/>
      <c r="N117" s="1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M118" s="15"/>
      <c r="N118" s="1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M119" s="15"/>
      <c r="N119" s="1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M120" s="15"/>
      <c r="N120" s="1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M121" s="15"/>
      <c r="N121" s="1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51" spans="2:7">
      <c r="B151" s="4" t="s">
        <v>13</v>
      </c>
      <c r="C151" s="4" t="s">
        <v>14</v>
      </c>
      <c r="F151" s="4" t="s">
        <v>13</v>
      </c>
      <c r="G151" s="4" t="s">
        <v>14</v>
      </c>
    </row>
    <row r="152" spans="2:7">
      <c r="B152">
        <v>0</v>
      </c>
      <c r="C152" t="s">
        <v>15</v>
      </c>
      <c r="F152">
        <v>0</v>
      </c>
      <c r="G152" t="s">
        <v>16</v>
      </c>
    </row>
    <row r="153" spans="2:7">
      <c r="B153">
        <v>1</v>
      </c>
      <c r="C153" t="s">
        <v>17</v>
      </c>
      <c r="F153">
        <v>1</v>
      </c>
      <c r="G153" t="s">
        <v>16</v>
      </c>
    </row>
    <row r="154" spans="2:7">
      <c r="B154">
        <v>2</v>
      </c>
      <c r="C154" t="s">
        <v>18</v>
      </c>
      <c r="F154">
        <v>2</v>
      </c>
      <c r="G154" t="s">
        <v>16</v>
      </c>
    </row>
    <row r="155" spans="2:7">
      <c r="B155">
        <v>3</v>
      </c>
      <c r="C155" t="s">
        <v>19</v>
      </c>
      <c r="F155">
        <v>3</v>
      </c>
      <c r="G155" t="s">
        <v>16</v>
      </c>
    </row>
    <row r="156" spans="2:7">
      <c r="B156">
        <v>4</v>
      </c>
      <c r="C156" t="s">
        <v>20</v>
      </c>
      <c r="F156">
        <v>4</v>
      </c>
      <c r="G156" t="s">
        <v>16</v>
      </c>
    </row>
    <row r="157" spans="2:7">
      <c r="B157">
        <v>5</v>
      </c>
      <c r="C157" t="s">
        <v>21</v>
      </c>
      <c r="F157">
        <v>5</v>
      </c>
      <c r="G157" t="s">
        <v>16</v>
      </c>
    </row>
    <row r="158" spans="2:7">
      <c r="B158">
        <v>6</v>
      </c>
      <c r="C158" t="s">
        <v>22</v>
      </c>
      <c r="F158">
        <v>6</v>
      </c>
      <c r="G158" t="s">
        <v>16</v>
      </c>
    </row>
    <row r="159" spans="2:7">
      <c r="B159">
        <v>7</v>
      </c>
      <c r="C159" t="s">
        <v>23</v>
      </c>
      <c r="F159">
        <v>7</v>
      </c>
      <c r="G159" t="s">
        <v>16</v>
      </c>
    </row>
    <row r="160" spans="2:7">
      <c r="B160">
        <v>8</v>
      </c>
      <c r="C160" t="s">
        <v>24</v>
      </c>
      <c r="F160">
        <v>8</v>
      </c>
      <c r="G160" t="s">
        <v>16</v>
      </c>
    </row>
    <row r="161" spans="2:7">
      <c r="B161">
        <v>9</v>
      </c>
      <c r="C161" t="s">
        <v>25</v>
      </c>
      <c r="F161">
        <v>9</v>
      </c>
      <c r="G161" t="s">
        <v>16</v>
      </c>
    </row>
    <row r="162" spans="2:7">
      <c r="B162">
        <v>10</v>
      </c>
      <c r="C162" t="s">
        <v>26</v>
      </c>
      <c r="F162">
        <v>10</v>
      </c>
      <c r="G162" t="s">
        <v>16</v>
      </c>
    </row>
    <row r="163" spans="2:7">
      <c r="B163">
        <v>11</v>
      </c>
      <c r="C163" t="s">
        <v>27</v>
      </c>
      <c r="F163">
        <v>11</v>
      </c>
      <c r="G163" t="s">
        <v>16</v>
      </c>
    </row>
    <row r="164" spans="2:7">
      <c r="B164">
        <v>12</v>
      </c>
      <c r="C164" t="s">
        <v>28</v>
      </c>
      <c r="F164">
        <v>12</v>
      </c>
      <c r="G164" t="s">
        <v>16</v>
      </c>
    </row>
    <row r="165" spans="2:7">
      <c r="B165">
        <v>13</v>
      </c>
      <c r="C165" t="s">
        <v>29</v>
      </c>
      <c r="F165">
        <v>13</v>
      </c>
      <c r="G165" t="s">
        <v>16</v>
      </c>
    </row>
    <row r="166" spans="2:7">
      <c r="B166">
        <v>14</v>
      </c>
      <c r="C166" t="s">
        <v>30</v>
      </c>
      <c r="F166">
        <v>14</v>
      </c>
      <c r="G166" t="s">
        <v>16</v>
      </c>
    </row>
    <row r="167" spans="2:7">
      <c r="B167">
        <v>15</v>
      </c>
      <c r="C167" t="s">
        <v>31</v>
      </c>
      <c r="F167">
        <v>15</v>
      </c>
      <c r="G167" t="s">
        <v>16</v>
      </c>
    </row>
    <row r="168" spans="2:7">
      <c r="B168">
        <v>16</v>
      </c>
      <c r="C168" t="s">
        <v>32</v>
      </c>
      <c r="F168">
        <v>16</v>
      </c>
      <c r="G168" t="s">
        <v>16</v>
      </c>
    </row>
    <row r="169" spans="2:7">
      <c r="B169">
        <v>17</v>
      </c>
      <c r="C169" t="s">
        <v>33</v>
      </c>
      <c r="F169">
        <v>17</v>
      </c>
      <c r="G169" t="s">
        <v>16</v>
      </c>
    </row>
    <row r="170" spans="2:7">
      <c r="B170">
        <v>18</v>
      </c>
      <c r="C170" t="s">
        <v>34</v>
      </c>
      <c r="F170">
        <v>18</v>
      </c>
      <c r="G170" t="s">
        <v>16</v>
      </c>
    </row>
    <row r="171" spans="2:7">
      <c r="B171">
        <v>19</v>
      </c>
      <c r="C171" t="s">
        <v>35</v>
      </c>
      <c r="F171">
        <v>19</v>
      </c>
      <c r="G171" t="s">
        <v>16</v>
      </c>
    </row>
    <row r="172" spans="2:7">
      <c r="B172">
        <v>20</v>
      </c>
      <c r="C172" t="s">
        <v>36</v>
      </c>
      <c r="F172">
        <v>20</v>
      </c>
      <c r="G172" t="s">
        <v>16</v>
      </c>
    </row>
    <row r="173" spans="2:7">
      <c r="B173">
        <v>21</v>
      </c>
      <c r="C173" t="s">
        <v>37</v>
      </c>
      <c r="F173">
        <v>21</v>
      </c>
      <c r="G173" t="s">
        <v>16</v>
      </c>
    </row>
    <row r="174" spans="2:7">
      <c r="B174">
        <v>22</v>
      </c>
      <c r="C174" t="s">
        <v>38</v>
      </c>
      <c r="F174">
        <v>22</v>
      </c>
      <c r="G174" t="s">
        <v>16</v>
      </c>
    </row>
    <row r="175" spans="2:7">
      <c r="B175">
        <v>23</v>
      </c>
      <c r="C175" t="s">
        <v>39</v>
      </c>
      <c r="F175">
        <v>23</v>
      </c>
      <c r="G175" t="s">
        <v>16</v>
      </c>
    </row>
    <row r="176" spans="2:7">
      <c r="B176">
        <v>24</v>
      </c>
      <c r="C176" t="s">
        <v>40</v>
      </c>
      <c r="F176">
        <v>24</v>
      </c>
      <c r="G176" t="s">
        <v>16</v>
      </c>
    </row>
    <row r="177" spans="2:7">
      <c r="B177">
        <v>25</v>
      </c>
      <c r="C177" t="s">
        <v>41</v>
      </c>
      <c r="F177">
        <v>25</v>
      </c>
      <c r="G177" t="s">
        <v>16</v>
      </c>
    </row>
    <row r="178" spans="2:7">
      <c r="B178">
        <v>26</v>
      </c>
      <c r="C178" t="s">
        <v>42</v>
      </c>
      <c r="F178">
        <v>26</v>
      </c>
      <c r="G178" t="s">
        <v>16</v>
      </c>
    </row>
    <row r="179" spans="2:7">
      <c r="B179">
        <v>27</v>
      </c>
      <c r="C179" t="s">
        <v>43</v>
      </c>
      <c r="F179">
        <v>27</v>
      </c>
      <c r="G179" t="s">
        <v>16</v>
      </c>
    </row>
    <row r="180" spans="2:7">
      <c r="B180">
        <v>28</v>
      </c>
      <c r="C180" t="s">
        <v>44</v>
      </c>
      <c r="F180">
        <v>28</v>
      </c>
      <c r="G180" t="s">
        <v>16</v>
      </c>
    </row>
    <row r="181" spans="2:7">
      <c r="B181">
        <v>29</v>
      </c>
      <c r="C181" t="s">
        <v>45</v>
      </c>
      <c r="F181">
        <v>29</v>
      </c>
      <c r="G181" t="s">
        <v>16</v>
      </c>
    </row>
    <row r="182" spans="2:7">
      <c r="B182">
        <v>30</v>
      </c>
      <c r="C182" t="s">
        <v>46</v>
      </c>
      <c r="F182">
        <v>30</v>
      </c>
      <c r="G182" t="s">
        <v>16</v>
      </c>
    </row>
    <row r="183" spans="2:7">
      <c r="B183">
        <v>31</v>
      </c>
      <c r="C183" t="s">
        <v>47</v>
      </c>
      <c r="F183">
        <v>31</v>
      </c>
      <c r="G183" t="s">
        <v>16</v>
      </c>
    </row>
    <row r="184" spans="2:7">
      <c r="B184">
        <v>32</v>
      </c>
      <c r="C184" t="s">
        <v>48</v>
      </c>
      <c r="F184">
        <v>32</v>
      </c>
      <c r="G184" t="s">
        <v>16</v>
      </c>
    </row>
    <row r="185" spans="2:7">
      <c r="B185">
        <v>33</v>
      </c>
      <c r="C185" t="s">
        <v>49</v>
      </c>
      <c r="F185">
        <v>33</v>
      </c>
      <c r="G185" t="s">
        <v>16</v>
      </c>
    </row>
    <row r="186" spans="2:7">
      <c r="B186">
        <v>34</v>
      </c>
      <c r="C186" t="s">
        <v>50</v>
      </c>
      <c r="F186">
        <v>34</v>
      </c>
      <c r="G186" t="s">
        <v>16</v>
      </c>
    </row>
    <row r="187" spans="2:7">
      <c r="B187">
        <v>35</v>
      </c>
      <c r="C187" t="s">
        <v>51</v>
      </c>
      <c r="F187">
        <v>35</v>
      </c>
      <c r="G187" t="s">
        <v>16</v>
      </c>
    </row>
    <row r="188" spans="2:7">
      <c r="B188">
        <v>36</v>
      </c>
      <c r="C188" t="s">
        <v>52</v>
      </c>
      <c r="F188">
        <v>36</v>
      </c>
      <c r="G188" t="s">
        <v>16</v>
      </c>
    </row>
    <row r="189" spans="2:7">
      <c r="B189">
        <v>37</v>
      </c>
      <c r="C189" t="s">
        <v>53</v>
      </c>
      <c r="F189">
        <v>37</v>
      </c>
      <c r="G189" t="s">
        <v>16</v>
      </c>
    </row>
    <row r="190" spans="2:7">
      <c r="B190">
        <v>38</v>
      </c>
      <c r="C190" t="s">
        <v>54</v>
      </c>
      <c r="F190">
        <v>38</v>
      </c>
      <c r="G190" t="s">
        <v>16</v>
      </c>
    </row>
    <row r="191" spans="2:7">
      <c r="B191">
        <v>39</v>
      </c>
      <c r="C191" t="s">
        <v>55</v>
      </c>
      <c r="F191">
        <v>39</v>
      </c>
      <c r="G191" t="s">
        <v>16</v>
      </c>
    </row>
    <row r="192" spans="2:7">
      <c r="B192">
        <v>40</v>
      </c>
      <c r="C192" t="s">
        <v>56</v>
      </c>
      <c r="F192">
        <v>40</v>
      </c>
      <c r="G192" t="s">
        <v>16</v>
      </c>
    </row>
    <row r="193" spans="2:7">
      <c r="B193">
        <v>41</v>
      </c>
      <c r="C193" t="s">
        <v>57</v>
      </c>
      <c r="F193">
        <v>41</v>
      </c>
      <c r="G193" t="s">
        <v>16</v>
      </c>
    </row>
    <row r="194" spans="2:7">
      <c r="B194">
        <v>42</v>
      </c>
      <c r="C194" t="s">
        <v>58</v>
      </c>
      <c r="F194">
        <v>42</v>
      </c>
      <c r="G194" t="s">
        <v>16</v>
      </c>
    </row>
    <row r="195" spans="2:7">
      <c r="B195">
        <v>43</v>
      </c>
      <c r="C195" t="s">
        <v>59</v>
      </c>
      <c r="F195">
        <v>43</v>
      </c>
      <c r="G195" t="s">
        <v>16</v>
      </c>
    </row>
    <row r="196" spans="2:7">
      <c r="B196">
        <v>44</v>
      </c>
      <c r="C196" t="s">
        <v>60</v>
      </c>
      <c r="F196">
        <v>44</v>
      </c>
      <c r="G196" t="s">
        <v>16</v>
      </c>
    </row>
    <row r="197" spans="2:7">
      <c r="B197">
        <v>45</v>
      </c>
      <c r="C197" t="s">
        <v>61</v>
      </c>
      <c r="F197">
        <v>45</v>
      </c>
      <c r="G197" t="s">
        <v>16</v>
      </c>
    </row>
    <row r="198" spans="2:7">
      <c r="B198">
        <v>46</v>
      </c>
      <c r="C198" t="s">
        <v>62</v>
      </c>
      <c r="F198">
        <v>46</v>
      </c>
      <c r="G198" t="s">
        <v>16</v>
      </c>
    </row>
    <row r="199" spans="2:7">
      <c r="B199">
        <v>47</v>
      </c>
      <c r="C199" t="s">
        <v>63</v>
      </c>
      <c r="F199">
        <v>47</v>
      </c>
      <c r="G199" t="s">
        <v>16</v>
      </c>
    </row>
    <row r="200" spans="2:7">
      <c r="B200">
        <v>48</v>
      </c>
      <c r="C200" t="s">
        <v>64</v>
      </c>
      <c r="F200">
        <v>48</v>
      </c>
      <c r="G200" t="s">
        <v>16</v>
      </c>
    </row>
    <row r="201" spans="2:7">
      <c r="B201">
        <v>49</v>
      </c>
      <c r="C201" t="s">
        <v>65</v>
      </c>
      <c r="F201">
        <v>49</v>
      </c>
      <c r="G201" t="s">
        <v>16</v>
      </c>
    </row>
    <row r="202" spans="2:7">
      <c r="B202">
        <v>50</v>
      </c>
      <c r="C202" t="s">
        <v>66</v>
      </c>
      <c r="F202">
        <v>50</v>
      </c>
      <c r="G202" t="s">
        <v>67</v>
      </c>
    </row>
    <row r="203" spans="2:7">
      <c r="B203">
        <v>51</v>
      </c>
      <c r="C203" t="s">
        <v>68</v>
      </c>
      <c r="F203">
        <v>51</v>
      </c>
      <c r="G203" t="s">
        <v>67</v>
      </c>
    </row>
    <row r="204" spans="2:7">
      <c r="B204">
        <v>52</v>
      </c>
      <c r="C204" t="s">
        <v>69</v>
      </c>
      <c r="F204">
        <v>52</v>
      </c>
      <c r="G204" t="s">
        <v>67</v>
      </c>
    </row>
    <row r="205" spans="2:7">
      <c r="B205">
        <v>53</v>
      </c>
      <c r="C205" t="s">
        <v>70</v>
      </c>
      <c r="F205">
        <v>53</v>
      </c>
      <c r="G205" t="s">
        <v>71</v>
      </c>
    </row>
    <row r="206" spans="2:7">
      <c r="B206">
        <v>54</v>
      </c>
      <c r="C206" t="s">
        <v>72</v>
      </c>
      <c r="F206">
        <v>54</v>
      </c>
      <c r="G206" t="s">
        <v>71</v>
      </c>
    </row>
    <row r="207" spans="2:7">
      <c r="B207">
        <v>55</v>
      </c>
      <c r="C207" t="s">
        <v>73</v>
      </c>
      <c r="F207">
        <v>55</v>
      </c>
      <c r="G207" t="s">
        <v>71</v>
      </c>
    </row>
    <row r="208" spans="2:7">
      <c r="B208">
        <v>56</v>
      </c>
      <c r="C208" t="s">
        <v>74</v>
      </c>
      <c r="F208">
        <v>56</v>
      </c>
      <c r="G208" t="s">
        <v>71</v>
      </c>
    </row>
    <row r="209" spans="2:7">
      <c r="B209">
        <v>57</v>
      </c>
      <c r="C209" t="s">
        <v>75</v>
      </c>
      <c r="F209">
        <v>57</v>
      </c>
      <c r="G209" t="s">
        <v>76</v>
      </c>
    </row>
    <row r="210" spans="2:7">
      <c r="B210">
        <v>58</v>
      </c>
      <c r="C210" t="s">
        <v>77</v>
      </c>
      <c r="F210">
        <v>58</v>
      </c>
      <c r="G210" t="s">
        <v>76</v>
      </c>
    </row>
    <row r="211" spans="2:7">
      <c r="B211">
        <v>59</v>
      </c>
      <c r="C211" t="s">
        <v>78</v>
      </c>
      <c r="F211">
        <v>59</v>
      </c>
      <c r="G211" t="s">
        <v>76</v>
      </c>
    </row>
    <row r="212" spans="2:7">
      <c r="B212">
        <v>60</v>
      </c>
      <c r="C212" t="s">
        <v>79</v>
      </c>
      <c r="F212">
        <v>60</v>
      </c>
      <c r="G212" t="s">
        <v>76</v>
      </c>
    </row>
    <row r="213" spans="2:7">
      <c r="B213">
        <v>61</v>
      </c>
      <c r="C213" t="s">
        <v>80</v>
      </c>
      <c r="F213">
        <v>61</v>
      </c>
      <c r="G213" t="s">
        <v>81</v>
      </c>
    </row>
    <row r="214" spans="2:7">
      <c r="B214">
        <v>62</v>
      </c>
      <c r="C214" t="s">
        <v>82</v>
      </c>
      <c r="F214">
        <v>62</v>
      </c>
      <c r="G214" t="s">
        <v>81</v>
      </c>
    </row>
    <row r="215" spans="2:7">
      <c r="B215">
        <v>63</v>
      </c>
      <c r="C215" t="s">
        <v>83</v>
      </c>
      <c r="F215">
        <v>63</v>
      </c>
      <c r="G215" t="s">
        <v>81</v>
      </c>
    </row>
    <row r="216" spans="2:7">
      <c r="B216">
        <v>64</v>
      </c>
      <c r="C216" t="s">
        <v>84</v>
      </c>
      <c r="F216">
        <v>64</v>
      </c>
      <c r="G216" t="s">
        <v>85</v>
      </c>
    </row>
    <row r="217" spans="2:7">
      <c r="B217">
        <v>65</v>
      </c>
      <c r="C217" t="s">
        <v>86</v>
      </c>
      <c r="F217">
        <v>65</v>
      </c>
      <c r="G217" t="s">
        <v>85</v>
      </c>
    </row>
    <row r="218" spans="2:7">
      <c r="B218">
        <v>66</v>
      </c>
      <c r="C218" t="s">
        <v>87</v>
      </c>
      <c r="F218">
        <v>66</v>
      </c>
      <c r="G218" t="s">
        <v>85</v>
      </c>
    </row>
    <row r="219" spans="2:7">
      <c r="B219">
        <v>67</v>
      </c>
      <c r="C219" t="s">
        <v>88</v>
      </c>
      <c r="F219">
        <v>67</v>
      </c>
      <c r="G219" t="s">
        <v>85</v>
      </c>
    </row>
    <row r="220" spans="2:7">
      <c r="B220">
        <v>68</v>
      </c>
      <c r="C220" t="s">
        <v>89</v>
      </c>
      <c r="F220">
        <v>68</v>
      </c>
      <c r="G220" t="s">
        <v>90</v>
      </c>
    </row>
    <row r="221" spans="2:7">
      <c r="B221">
        <v>69</v>
      </c>
      <c r="C221" t="s">
        <v>91</v>
      </c>
      <c r="F221">
        <v>69</v>
      </c>
      <c r="G221" t="s">
        <v>90</v>
      </c>
    </row>
    <row r="222" spans="2:7">
      <c r="B222">
        <v>70</v>
      </c>
      <c r="C222" t="s">
        <v>92</v>
      </c>
      <c r="F222">
        <v>70</v>
      </c>
      <c r="G222" t="s">
        <v>90</v>
      </c>
    </row>
    <row r="223" spans="2:7">
      <c r="B223">
        <v>71</v>
      </c>
      <c r="C223" t="s">
        <v>93</v>
      </c>
      <c r="F223">
        <v>71</v>
      </c>
      <c r="G223" t="s">
        <v>94</v>
      </c>
    </row>
    <row r="224" spans="2:7">
      <c r="B224">
        <v>72</v>
      </c>
      <c r="C224" t="s">
        <v>95</v>
      </c>
      <c r="F224">
        <v>72</v>
      </c>
      <c r="G224" t="s">
        <v>94</v>
      </c>
    </row>
    <row r="225" spans="2:7">
      <c r="B225">
        <v>73</v>
      </c>
      <c r="C225" t="s">
        <v>96</v>
      </c>
      <c r="F225">
        <v>73</v>
      </c>
      <c r="G225" t="s">
        <v>94</v>
      </c>
    </row>
    <row r="226" spans="2:7">
      <c r="B226">
        <v>74</v>
      </c>
      <c r="C226" t="s">
        <v>97</v>
      </c>
      <c r="F226">
        <v>74</v>
      </c>
      <c r="G226" t="s">
        <v>94</v>
      </c>
    </row>
    <row r="227" spans="2:7">
      <c r="B227">
        <v>75</v>
      </c>
      <c r="C227" t="s">
        <v>98</v>
      </c>
      <c r="F227">
        <v>75</v>
      </c>
      <c r="G227" t="s">
        <v>99</v>
      </c>
    </row>
    <row r="228" spans="2:7">
      <c r="B228">
        <v>76</v>
      </c>
      <c r="C228" t="s">
        <v>100</v>
      </c>
      <c r="F228">
        <v>76</v>
      </c>
      <c r="G228" t="s">
        <v>99</v>
      </c>
    </row>
    <row r="229" spans="2:7">
      <c r="B229">
        <v>77</v>
      </c>
      <c r="C229" t="s">
        <v>101</v>
      </c>
      <c r="F229">
        <v>77</v>
      </c>
      <c r="G229" t="s">
        <v>99</v>
      </c>
    </row>
    <row r="230" spans="2:7">
      <c r="B230">
        <v>78</v>
      </c>
      <c r="C230" t="s">
        <v>102</v>
      </c>
      <c r="F230">
        <v>78</v>
      </c>
      <c r="G230" t="s">
        <v>99</v>
      </c>
    </row>
    <row r="231" spans="2:7">
      <c r="B231">
        <v>79</v>
      </c>
      <c r="C231" t="s">
        <v>103</v>
      </c>
      <c r="F231">
        <v>79</v>
      </c>
      <c r="G231" t="s">
        <v>99</v>
      </c>
    </row>
    <row r="232" spans="2:7">
      <c r="B232">
        <v>80</v>
      </c>
      <c r="C232" t="s">
        <v>104</v>
      </c>
      <c r="F232">
        <v>80</v>
      </c>
      <c r="G232" t="s">
        <v>105</v>
      </c>
    </row>
    <row r="233" spans="2:7">
      <c r="B233">
        <v>81</v>
      </c>
      <c r="C233" t="s">
        <v>106</v>
      </c>
      <c r="F233">
        <v>81</v>
      </c>
      <c r="G233" t="s">
        <v>105</v>
      </c>
    </row>
    <row r="234" spans="2:7">
      <c r="B234">
        <v>82</v>
      </c>
      <c r="C234" t="s">
        <v>107</v>
      </c>
      <c r="F234">
        <v>82</v>
      </c>
      <c r="G234" t="s">
        <v>105</v>
      </c>
    </row>
    <row r="235" spans="2:7">
      <c r="B235">
        <v>83</v>
      </c>
      <c r="C235" t="s">
        <v>108</v>
      </c>
      <c r="F235">
        <v>83</v>
      </c>
      <c r="G235" t="s">
        <v>105</v>
      </c>
    </row>
    <row r="236" spans="2:7">
      <c r="B236">
        <v>84</v>
      </c>
      <c r="C236" t="s">
        <v>109</v>
      </c>
      <c r="F236">
        <v>84</v>
      </c>
      <c r="G236" t="s">
        <v>105</v>
      </c>
    </row>
    <row r="237" spans="2:7">
      <c r="B237">
        <v>85</v>
      </c>
      <c r="C237" t="s">
        <v>110</v>
      </c>
      <c r="F237">
        <v>85</v>
      </c>
      <c r="G237" t="s">
        <v>111</v>
      </c>
    </row>
    <row r="238" spans="2:7">
      <c r="B238">
        <v>86</v>
      </c>
      <c r="C238" t="s">
        <v>112</v>
      </c>
      <c r="F238">
        <v>86</v>
      </c>
      <c r="G238" t="s">
        <v>111</v>
      </c>
    </row>
    <row r="239" spans="2:7">
      <c r="B239">
        <v>87</v>
      </c>
      <c r="C239" t="s">
        <v>113</v>
      </c>
      <c r="F239">
        <v>87</v>
      </c>
      <c r="G239" t="s">
        <v>111</v>
      </c>
    </row>
    <row r="240" spans="2:7">
      <c r="B240">
        <v>88</v>
      </c>
      <c r="C240" t="s">
        <v>114</v>
      </c>
      <c r="F240">
        <v>88</v>
      </c>
      <c r="G240" t="s">
        <v>111</v>
      </c>
    </row>
    <row r="241" spans="2:7">
      <c r="B241">
        <v>89</v>
      </c>
      <c r="C241" t="s">
        <v>115</v>
      </c>
      <c r="F241">
        <v>89</v>
      </c>
      <c r="G241" t="s">
        <v>111</v>
      </c>
    </row>
    <row r="242" spans="2:7">
      <c r="B242">
        <v>90</v>
      </c>
      <c r="C242" t="s">
        <v>116</v>
      </c>
      <c r="F242">
        <v>90</v>
      </c>
      <c r="G242" t="s">
        <v>117</v>
      </c>
    </row>
    <row r="243" spans="2:7">
      <c r="B243">
        <v>91</v>
      </c>
      <c r="C243" t="s">
        <v>118</v>
      </c>
      <c r="F243">
        <v>91</v>
      </c>
      <c r="G243" t="s">
        <v>117</v>
      </c>
    </row>
    <row r="244" spans="2:7">
      <c r="B244">
        <v>92</v>
      </c>
      <c r="C244" t="s">
        <v>119</v>
      </c>
      <c r="F244">
        <v>92</v>
      </c>
      <c r="G244" t="s">
        <v>117</v>
      </c>
    </row>
    <row r="245" spans="2:7">
      <c r="B245">
        <v>93</v>
      </c>
      <c r="C245" t="s">
        <v>120</v>
      </c>
      <c r="F245">
        <v>93</v>
      </c>
      <c r="G245" t="s">
        <v>117</v>
      </c>
    </row>
    <row r="246" spans="2:7">
      <c r="B246">
        <v>94</v>
      </c>
      <c r="C246" t="s">
        <v>121</v>
      </c>
      <c r="F246">
        <v>94</v>
      </c>
      <c r="G246" t="s">
        <v>117</v>
      </c>
    </row>
    <row r="247" spans="2:7">
      <c r="B247">
        <v>95</v>
      </c>
      <c r="C247" t="s">
        <v>122</v>
      </c>
      <c r="F247">
        <v>95</v>
      </c>
      <c r="G247" t="s">
        <v>117</v>
      </c>
    </row>
    <row r="248" spans="2:7">
      <c r="B248">
        <v>96</v>
      </c>
      <c r="C248" t="s">
        <v>123</v>
      </c>
      <c r="F248">
        <v>96</v>
      </c>
      <c r="G248" t="s">
        <v>117</v>
      </c>
    </row>
    <row r="249" spans="2:7">
      <c r="B249">
        <v>97</v>
      </c>
      <c r="C249" t="s">
        <v>124</v>
      </c>
      <c r="F249">
        <v>97</v>
      </c>
      <c r="G249" t="s">
        <v>117</v>
      </c>
    </row>
    <row r="250" spans="2:7">
      <c r="B250">
        <v>98</v>
      </c>
      <c r="C250" t="s">
        <v>125</v>
      </c>
      <c r="F250">
        <v>98</v>
      </c>
      <c r="G250" t="s">
        <v>117</v>
      </c>
    </row>
    <row r="251" spans="2:7">
      <c r="B251">
        <v>99</v>
      </c>
      <c r="C251" t="s">
        <v>126</v>
      </c>
      <c r="F251">
        <v>99</v>
      </c>
      <c r="G251" t="s">
        <v>117</v>
      </c>
    </row>
    <row r="252" spans="2:7">
      <c r="B252">
        <v>100</v>
      </c>
      <c r="C252" t="s">
        <v>127</v>
      </c>
      <c r="F252">
        <v>100</v>
      </c>
      <c r="G252" t="s">
        <v>117</v>
      </c>
    </row>
  </sheetData>
  <mergeCells count="12">
    <mergeCell ref="I7:J7"/>
    <mergeCell ref="A4:D4"/>
    <mergeCell ref="E4:K4"/>
    <mergeCell ref="D5:E5"/>
    <mergeCell ref="G5:K5"/>
    <mergeCell ref="H6:J6"/>
    <mergeCell ref="A1:D1"/>
    <mergeCell ref="F1:K1"/>
    <mergeCell ref="A2:D2"/>
    <mergeCell ref="F2:K2"/>
    <mergeCell ref="A3:D3"/>
    <mergeCell ref="F3:K3"/>
  </mergeCells>
  <conditionalFormatting sqref="D29:D49">
    <cfRule type="cellIs" dxfId="6" priority="1" stopIfTrue="1" operator="lessThan">
      <formula>50</formula>
    </cfRule>
  </conditionalFormatting>
  <printOptions horizontalCentered="1"/>
  <pageMargins left="0.55000000000000004" right="0.27" top="1.21" bottom="2.99" header="0.19" footer="2.15"/>
  <pageSetup paperSize="5" orientation="portrait" verticalDpi="180" r:id="rId1"/>
  <headerFooter alignWithMargins="0">
    <oddHeader>&amp;C&amp;"Old English Text MT,Regular"&amp;20University of Karachi
&amp;"Storybook,Bold"&amp;12(SEMESTER EXAMINATION)
&amp;"Times New Roman,Bold"FACULTY OF SCIENCE
(EVENING PROGRAMME)</oddHeader>
    <oddFooter>&amp;L&amp;"Arial,Bold"&amp;UDated: 12- 10- 2022&amp;CSignature of Teacher__________________&amp;RChairman_______________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2"/>
  <sheetViews>
    <sheetView view="pageLayout" zoomScale="115" zoomScalePageLayoutView="115" workbookViewId="0">
      <selection activeCell="D13" sqref="D13"/>
    </sheetView>
  </sheetViews>
  <sheetFormatPr defaultRowHeight="12.75"/>
  <cols>
    <col min="1" max="1" width="3.5703125" customWidth="1"/>
    <col min="2" max="2" width="15.28515625" customWidth="1"/>
    <col min="3" max="3" width="0.5703125" hidden="1" customWidth="1"/>
    <col min="4" max="4" width="34.7109375" customWidth="1"/>
    <col min="5" max="6" width="4.28515625" customWidth="1"/>
    <col min="7" max="7" width="10.85546875" customWidth="1"/>
    <col min="8" max="8" width="4.28515625" customWidth="1"/>
    <col min="9" max="9" width="5.140625" style="3" customWidth="1"/>
    <col min="10" max="10" width="2.140625" hidden="1" customWidth="1"/>
    <col min="11" max="11" width="12.42578125" customWidth="1"/>
    <col min="12" max="12" width="9.140625" style="11" customWidth="1"/>
    <col min="13" max="13" width="9.140625" style="16" customWidth="1"/>
    <col min="14" max="14" width="9.140625" style="17" customWidth="1"/>
  </cols>
  <sheetData>
    <row r="1" spans="1:41" ht="13.5" customHeight="1">
      <c r="A1" s="58" t="s">
        <v>128</v>
      </c>
      <c r="B1" s="59"/>
      <c r="C1" s="59"/>
      <c r="D1" s="59"/>
      <c r="F1" s="58" t="s">
        <v>132</v>
      </c>
      <c r="G1" s="60"/>
      <c r="H1" s="60"/>
      <c r="I1" s="60"/>
      <c r="J1" s="60"/>
      <c r="K1" s="60"/>
    </row>
    <row r="2" spans="1:41" ht="13.5" customHeight="1">
      <c r="A2" s="58" t="s">
        <v>129</v>
      </c>
      <c r="B2" s="60"/>
      <c r="C2" s="60"/>
      <c r="D2" s="60"/>
      <c r="F2" s="58" t="s">
        <v>205</v>
      </c>
      <c r="G2" s="60"/>
      <c r="H2" s="60"/>
      <c r="I2" s="60"/>
      <c r="J2" s="60"/>
      <c r="K2" s="60"/>
    </row>
    <row r="3" spans="1:41" ht="13.5" customHeight="1">
      <c r="A3" s="58" t="s">
        <v>134</v>
      </c>
      <c r="B3" s="60"/>
      <c r="C3" s="60"/>
      <c r="D3" s="60"/>
      <c r="F3" s="58" t="s">
        <v>135</v>
      </c>
      <c r="G3" s="60"/>
      <c r="H3" s="60"/>
      <c r="I3" s="60"/>
      <c r="J3" s="60"/>
      <c r="K3" s="60"/>
    </row>
    <row r="4" spans="1:41" ht="14.1" customHeight="1" thickBot="1">
      <c r="A4" s="58" t="s">
        <v>204</v>
      </c>
      <c r="B4" s="60"/>
      <c r="C4" s="60"/>
      <c r="D4" s="60"/>
      <c r="E4" s="63" t="s">
        <v>133</v>
      </c>
      <c r="F4" s="64"/>
      <c r="G4" s="64"/>
      <c r="H4" s="64"/>
      <c r="I4" s="64"/>
      <c r="J4" s="64"/>
      <c r="K4" s="64"/>
    </row>
    <row r="5" spans="1:41" ht="15" customHeight="1" thickBot="1">
      <c r="A5" s="27"/>
      <c r="B5" s="28"/>
      <c r="C5" s="28"/>
      <c r="D5" s="65" t="s">
        <v>0</v>
      </c>
      <c r="E5" s="65"/>
      <c r="F5" s="28"/>
      <c r="G5" s="66"/>
      <c r="H5" s="66"/>
      <c r="I5" s="66"/>
      <c r="J5" s="66"/>
      <c r="K5" s="67"/>
    </row>
    <row r="6" spans="1:41" ht="14.1" customHeight="1">
      <c r="A6" s="29" t="s">
        <v>1</v>
      </c>
      <c r="B6" s="30" t="s">
        <v>2</v>
      </c>
      <c r="C6" s="31" t="s">
        <v>3</v>
      </c>
      <c r="D6" s="30" t="s">
        <v>4</v>
      </c>
      <c r="E6" s="31" t="s">
        <v>5</v>
      </c>
      <c r="F6" s="30" t="s">
        <v>6</v>
      </c>
      <c r="G6" s="31" t="s">
        <v>7</v>
      </c>
      <c r="H6" s="68" t="s">
        <v>8</v>
      </c>
      <c r="I6" s="69"/>
      <c r="J6" s="70"/>
      <c r="K6" s="32" t="s">
        <v>9</v>
      </c>
    </row>
    <row r="7" spans="1:41" ht="14.1" customHeight="1" thickBot="1">
      <c r="A7" s="33"/>
      <c r="B7" s="34"/>
      <c r="C7" s="35"/>
      <c r="D7" s="34"/>
      <c r="E7" s="35">
        <v>80</v>
      </c>
      <c r="F7" s="34">
        <v>20</v>
      </c>
      <c r="G7" s="35" t="s">
        <v>10</v>
      </c>
      <c r="H7" s="34" t="s">
        <v>11</v>
      </c>
      <c r="I7" s="61" t="s">
        <v>12</v>
      </c>
      <c r="J7" s="62"/>
      <c r="K7" s="36"/>
    </row>
    <row r="8" spans="1:41" s="7" customFormat="1" ht="18" customHeight="1">
      <c r="A8" s="12">
        <v>1</v>
      </c>
      <c r="B8" s="47" t="s">
        <v>136</v>
      </c>
      <c r="D8" s="48" t="s">
        <v>137</v>
      </c>
      <c r="E8" s="23"/>
      <c r="F8" s="23"/>
      <c r="G8" s="5" t="str">
        <f t="shared" ref="G8:G71" si="0">VLOOKUP(H8,$B$151:$C$252,2,TRUE)</f>
        <v>Zero</v>
      </c>
      <c r="H8" s="6">
        <f t="shared" ref="H8:H57" si="1">SUM(E8:F8)</f>
        <v>0</v>
      </c>
      <c r="I8" s="6" t="str">
        <f t="shared" ref="I8:I71" si="2">VLOOKUP(H8,$F$151:$G$252,2,TRUE)</f>
        <v>F</v>
      </c>
      <c r="J8" s="8" t="str">
        <f t="shared" ref="J8:J71" si="3">IF(H8&gt;=90,"+",IF(H8&gt;=84,"-",IF(H8&gt;=75,"+",IF(H8&gt;=68,"-",IF(H8&gt;=64,"+",IF(H8&gt;=57,"-",IF(H8&gt;=53,"+"," ")))))))</f>
        <v xml:space="preserve"> </v>
      </c>
      <c r="K8" s="9" t="str">
        <f t="shared" ref="K8:K71" si="4">IF(AND(E8&lt;40,F8&lt;10),"Fail in Th. &amp; Pr.", IF(E8&lt;40,"Fail in Theory",IF(F8&lt;10,"Fail in Pract.", "Passes")))</f>
        <v>Fail in Th. &amp; Pr.</v>
      </c>
      <c r="L8" s="18"/>
      <c r="M8" s="19"/>
      <c r="N8" s="14"/>
      <c r="O8" s="1"/>
      <c r="P8" s="1"/>
      <c r="Q8" s="1"/>
      <c r="R8" s="1"/>
      <c r="S8" s="1"/>
      <c r="T8" s="1"/>
      <c r="U8" s="21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s="7" customFormat="1" ht="18" customHeight="1">
      <c r="A9" s="12">
        <v>2</v>
      </c>
      <c r="B9" s="38" t="s">
        <v>138</v>
      </c>
      <c r="C9" s="49"/>
      <c r="D9" s="50" t="s">
        <v>139</v>
      </c>
      <c r="E9" s="23"/>
      <c r="F9" s="23"/>
      <c r="G9" s="5" t="str">
        <f t="shared" si="0"/>
        <v>Zero</v>
      </c>
      <c r="H9" s="6">
        <f t="shared" si="1"/>
        <v>0</v>
      </c>
      <c r="I9" s="6" t="str">
        <f t="shared" si="2"/>
        <v>F</v>
      </c>
      <c r="J9" s="8" t="str">
        <f t="shared" si="3"/>
        <v xml:space="preserve"> </v>
      </c>
      <c r="K9" s="9" t="str">
        <f t="shared" si="4"/>
        <v>Fail in Th. &amp; Pr.</v>
      </c>
      <c r="L9" s="18"/>
      <c r="M9" s="19"/>
      <c r="N9" s="14"/>
      <c r="O9" s="1"/>
      <c r="P9" s="1"/>
      <c r="Q9" s="1"/>
      <c r="R9" s="1"/>
      <c r="S9" s="1"/>
      <c r="T9" s="1"/>
      <c r="U9" s="21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s="7" customFormat="1" ht="18" customHeight="1">
      <c r="A10" s="12">
        <v>3</v>
      </c>
      <c r="B10" s="47" t="s">
        <v>140</v>
      </c>
      <c r="C10" s="49"/>
      <c r="D10" s="48" t="s">
        <v>141</v>
      </c>
      <c r="E10" s="23"/>
      <c r="F10" s="23"/>
      <c r="G10" s="5" t="str">
        <f t="shared" si="0"/>
        <v>Zero</v>
      </c>
      <c r="H10" s="6">
        <f t="shared" si="1"/>
        <v>0</v>
      </c>
      <c r="I10" s="6" t="str">
        <f t="shared" si="2"/>
        <v>F</v>
      </c>
      <c r="J10" s="8" t="str">
        <f t="shared" si="3"/>
        <v xml:space="preserve"> </v>
      </c>
      <c r="K10" s="9" t="str">
        <f t="shared" si="4"/>
        <v>Fail in Th. &amp; Pr.</v>
      </c>
      <c r="L10" s="18"/>
      <c r="M10" s="19"/>
      <c r="N10" s="14"/>
      <c r="O10" s="1"/>
      <c r="P10" s="1"/>
      <c r="Q10" s="1"/>
      <c r="R10" s="1"/>
      <c r="S10" s="1"/>
      <c r="T10" s="1"/>
      <c r="U10" s="21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s="7" customFormat="1" ht="18" customHeight="1">
      <c r="A11" s="12">
        <v>4</v>
      </c>
      <c r="B11" s="47" t="s">
        <v>142</v>
      </c>
      <c r="D11" s="48" t="s">
        <v>143</v>
      </c>
      <c r="E11" s="23"/>
      <c r="F11" s="23"/>
      <c r="G11" s="5" t="str">
        <f t="shared" si="0"/>
        <v>Zero</v>
      </c>
      <c r="H11" s="6">
        <f t="shared" si="1"/>
        <v>0</v>
      </c>
      <c r="I11" s="6" t="str">
        <f t="shared" si="2"/>
        <v>F</v>
      </c>
      <c r="J11" s="8" t="str">
        <f t="shared" si="3"/>
        <v xml:space="preserve"> </v>
      </c>
      <c r="K11" s="9" t="str">
        <f t="shared" si="4"/>
        <v>Fail in Th. &amp; Pr.</v>
      </c>
      <c r="L11" s="18"/>
      <c r="M11" s="19"/>
      <c r="N11" s="14"/>
      <c r="O11" s="1"/>
      <c r="P11" s="1"/>
      <c r="Q11" s="1"/>
      <c r="R11" s="1"/>
      <c r="S11" s="1"/>
      <c r="T11" s="1"/>
      <c r="U11" s="21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s="7" customFormat="1" ht="18" customHeight="1">
      <c r="A12" s="12">
        <v>5</v>
      </c>
      <c r="B12" s="47" t="s">
        <v>144</v>
      </c>
      <c r="D12" s="48" t="s">
        <v>145</v>
      </c>
      <c r="E12" s="23"/>
      <c r="F12" s="23"/>
      <c r="G12" s="5" t="str">
        <f t="shared" si="0"/>
        <v>Zero</v>
      </c>
      <c r="H12" s="6">
        <f t="shared" si="1"/>
        <v>0</v>
      </c>
      <c r="I12" s="6" t="str">
        <f t="shared" si="2"/>
        <v>F</v>
      </c>
      <c r="J12" s="8" t="str">
        <f t="shared" si="3"/>
        <v xml:space="preserve"> </v>
      </c>
      <c r="K12" s="9" t="str">
        <f t="shared" si="4"/>
        <v>Fail in Th. &amp; Pr.</v>
      </c>
      <c r="L12" s="18"/>
      <c r="M12" s="19"/>
      <c r="N12" s="14"/>
      <c r="O12" s="1"/>
      <c r="P12" s="1"/>
      <c r="Q12" s="1"/>
      <c r="R12" s="1"/>
      <c r="S12" s="1"/>
      <c r="T12" s="1"/>
      <c r="U12" s="21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s="7" customFormat="1" ht="18" customHeight="1">
      <c r="A13" s="12">
        <v>6</v>
      </c>
      <c r="B13" s="47" t="s">
        <v>146</v>
      </c>
      <c r="D13" s="48" t="s">
        <v>147</v>
      </c>
      <c r="E13" s="23"/>
      <c r="F13" s="23"/>
      <c r="G13" s="5" t="str">
        <f t="shared" si="0"/>
        <v>Zero</v>
      </c>
      <c r="H13" s="6">
        <f t="shared" si="1"/>
        <v>0</v>
      </c>
      <c r="I13" s="6" t="str">
        <f t="shared" si="2"/>
        <v>F</v>
      </c>
      <c r="J13" s="8" t="str">
        <f t="shared" si="3"/>
        <v xml:space="preserve"> </v>
      </c>
      <c r="K13" s="9" t="str">
        <f t="shared" si="4"/>
        <v>Fail in Th. &amp; Pr.</v>
      </c>
      <c r="L13" s="18"/>
      <c r="M13" s="19"/>
      <c r="N13" s="14"/>
      <c r="O13" s="1"/>
      <c r="P13" s="1"/>
      <c r="Q13" s="1"/>
      <c r="R13" s="1"/>
      <c r="S13" s="1"/>
      <c r="T13" s="1"/>
      <c r="U13" s="21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s="7" customFormat="1" ht="18" customHeight="1">
      <c r="A14" s="12">
        <v>7</v>
      </c>
      <c r="B14" s="47" t="s">
        <v>148</v>
      </c>
      <c r="D14" s="48" t="s">
        <v>149</v>
      </c>
      <c r="E14" s="23"/>
      <c r="F14" s="23"/>
      <c r="G14" s="5" t="str">
        <f t="shared" si="0"/>
        <v>Zero</v>
      </c>
      <c r="H14" s="6">
        <f t="shared" si="1"/>
        <v>0</v>
      </c>
      <c r="I14" s="6" t="str">
        <f t="shared" si="2"/>
        <v>F</v>
      </c>
      <c r="J14" s="8" t="str">
        <f t="shared" si="3"/>
        <v xml:space="preserve"> </v>
      </c>
      <c r="K14" s="9" t="str">
        <f t="shared" si="4"/>
        <v>Fail in Th. &amp; Pr.</v>
      </c>
      <c r="L14" s="18"/>
      <c r="M14" s="19"/>
      <c r="N14" s="14"/>
      <c r="O14" s="1"/>
      <c r="P14" s="1"/>
      <c r="Q14" s="1"/>
      <c r="R14" s="1"/>
      <c r="S14" s="1"/>
      <c r="T14" s="1"/>
      <c r="U14" s="21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s="7" customFormat="1" ht="18" customHeight="1">
      <c r="A15" s="12">
        <v>8</v>
      </c>
      <c r="B15" s="47" t="s">
        <v>150</v>
      </c>
      <c r="D15" s="48" t="s">
        <v>151</v>
      </c>
      <c r="E15" s="23"/>
      <c r="F15" s="23"/>
      <c r="G15" s="5" t="str">
        <f t="shared" si="0"/>
        <v>Zero</v>
      </c>
      <c r="H15" s="6">
        <f t="shared" si="1"/>
        <v>0</v>
      </c>
      <c r="I15" s="6" t="str">
        <f t="shared" si="2"/>
        <v>F</v>
      </c>
      <c r="J15" s="8" t="str">
        <f t="shared" si="3"/>
        <v xml:space="preserve"> </v>
      </c>
      <c r="K15" s="9" t="str">
        <f t="shared" si="4"/>
        <v>Fail in Th. &amp; Pr.</v>
      </c>
      <c r="L15" s="18"/>
      <c r="M15" s="19"/>
      <c r="N15" s="14"/>
      <c r="O15" s="1"/>
      <c r="P15" s="1"/>
      <c r="Q15" s="1"/>
      <c r="R15" s="1"/>
      <c r="S15" s="1"/>
      <c r="T15" s="1"/>
      <c r="U15" s="21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s="7" customFormat="1" ht="18" customHeight="1">
      <c r="A16" s="12">
        <v>9</v>
      </c>
      <c r="B16" s="47" t="s">
        <v>152</v>
      </c>
      <c r="D16" s="48" t="s">
        <v>153</v>
      </c>
      <c r="E16" s="23"/>
      <c r="F16" s="23"/>
      <c r="G16" s="5" t="str">
        <f t="shared" si="0"/>
        <v>Zero</v>
      </c>
      <c r="H16" s="6">
        <f t="shared" si="1"/>
        <v>0</v>
      </c>
      <c r="I16" s="6" t="str">
        <f t="shared" si="2"/>
        <v>F</v>
      </c>
      <c r="J16" s="8" t="str">
        <f t="shared" si="3"/>
        <v xml:space="preserve"> </v>
      </c>
      <c r="K16" s="9" t="str">
        <f t="shared" si="4"/>
        <v>Fail in Th. &amp; Pr.</v>
      </c>
      <c r="L16" s="18"/>
      <c r="M16" s="19"/>
      <c r="N16" s="14"/>
      <c r="O16" s="1"/>
      <c r="P16" s="1"/>
      <c r="Q16" s="1"/>
      <c r="R16" s="1"/>
      <c r="S16" s="1"/>
      <c r="T16" s="1"/>
      <c r="U16" s="21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s="7" customFormat="1" ht="18" customHeight="1">
      <c r="A17" s="12">
        <v>10</v>
      </c>
      <c r="B17" s="47" t="s">
        <v>154</v>
      </c>
      <c r="D17" s="48" t="s">
        <v>155</v>
      </c>
      <c r="E17" s="23"/>
      <c r="F17" s="23"/>
      <c r="G17" s="5" t="str">
        <f t="shared" si="0"/>
        <v>Zero</v>
      </c>
      <c r="H17" s="6">
        <f t="shared" si="1"/>
        <v>0</v>
      </c>
      <c r="I17" s="6" t="str">
        <f t="shared" si="2"/>
        <v>F</v>
      </c>
      <c r="J17" s="8" t="str">
        <f t="shared" si="3"/>
        <v xml:space="preserve"> </v>
      </c>
      <c r="K17" s="9" t="str">
        <f t="shared" si="4"/>
        <v>Fail in Th. &amp; Pr.</v>
      </c>
      <c r="L17" s="18"/>
      <c r="M17" s="19"/>
      <c r="N17" s="22"/>
      <c r="O17" s="1"/>
      <c r="P17" s="1"/>
      <c r="Q17" s="1"/>
      <c r="R17" s="1"/>
      <c r="S17" s="1"/>
      <c r="T17" s="1"/>
      <c r="U17" s="21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s="7" customFormat="1" ht="18" customHeight="1">
      <c r="A18" s="12">
        <v>11</v>
      </c>
      <c r="B18" s="51" t="s">
        <v>156</v>
      </c>
      <c r="C18" s="52"/>
      <c r="D18" s="53" t="s">
        <v>157</v>
      </c>
      <c r="E18" s="23"/>
      <c r="F18" s="23"/>
      <c r="G18" s="5" t="str">
        <f t="shared" si="0"/>
        <v>Zero</v>
      </c>
      <c r="H18" s="6">
        <f t="shared" si="1"/>
        <v>0</v>
      </c>
      <c r="I18" s="6" t="str">
        <f t="shared" si="2"/>
        <v>F</v>
      </c>
      <c r="J18" s="8" t="str">
        <f t="shared" si="3"/>
        <v xml:space="preserve"> </v>
      </c>
      <c r="K18" s="9" t="str">
        <f t="shared" si="4"/>
        <v>Fail in Th. &amp; Pr.</v>
      </c>
      <c r="L18" s="18"/>
      <c r="M18" s="19"/>
      <c r="N18" s="14"/>
      <c r="O18" s="1"/>
      <c r="P18" s="1"/>
      <c r="Q18" s="1"/>
      <c r="R18" s="1"/>
      <c r="S18" s="1"/>
      <c r="T18" s="1"/>
      <c r="U18" s="21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s="7" customFormat="1" ht="18" customHeight="1">
      <c r="A19" s="12">
        <v>12</v>
      </c>
      <c r="B19" s="47" t="s">
        <v>158</v>
      </c>
      <c r="C19" s="49"/>
      <c r="D19" s="48" t="s">
        <v>159</v>
      </c>
      <c r="E19" s="23"/>
      <c r="F19" s="23"/>
      <c r="G19" s="5" t="str">
        <f t="shared" si="0"/>
        <v>Zero</v>
      </c>
      <c r="H19" s="6">
        <f t="shared" si="1"/>
        <v>0</v>
      </c>
      <c r="I19" s="6" t="str">
        <f t="shared" si="2"/>
        <v>F</v>
      </c>
      <c r="J19" s="8" t="str">
        <f t="shared" si="3"/>
        <v xml:space="preserve"> </v>
      </c>
      <c r="K19" s="9" t="str">
        <f t="shared" si="4"/>
        <v>Fail in Th. &amp; Pr.</v>
      </c>
      <c r="L19" s="18"/>
      <c r="M19" s="19"/>
      <c r="N19" s="14"/>
      <c r="O19" s="1"/>
      <c r="P19" s="1"/>
      <c r="Q19" s="1"/>
      <c r="R19" s="1"/>
      <c r="S19" s="1"/>
      <c r="T19" s="1"/>
      <c r="U19" s="21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s="7" customFormat="1" ht="18" customHeight="1">
      <c r="A20" s="12">
        <v>13</v>
      </c>
      <c r="B20" s="47" t="s">
        <v>160</v>
      </c>
      <c r="D20" s="48" t="s">
        <v>161</v>
      </c>
      <c r="E20" s="23"/>
      <c r="F20" s="23"/>
      <c r="G20" s="5" t="str">
        <f t="shared" si="0"/>
        <v>Zero</v>
      </c>
      <c r="H20" s="6">
        <f t="shared" si="1"/>
        <v>0</v>
      </c>
      <c r="I20" s="6" t="str">
        <f t="shared" si="2"/>
        <v>F</v>
      </c>
      <c r="J20" s="8" t="str">
        <f t="shared" si="3"/>
        <v xml:space="preserve"> </v>
      </c>
      <c r="K20" s="9" t="str">
        <f t="shared" si="4"/>
        <v>Fail in Th. &amp; Pr.</v>
      </c>
      <c r="L20" s="18"/>
      <c r="M20" s="19"/>
      <c r="N20" s="14"/>
      <c r="O20" s="1"/>
      <c r="P20" s="1"/>
      <c r="Q20" s="1"/>
      <c r="R20" s="1"/>
      <c r="S20" s="1"/>
      <c r="T20" s="1"/>
      <c r="U20" s="21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s="7" customFormat="1" ht="18" customHeight="1">
      <c r="A21" s="12">
        <v>14</v>
      </c>
      <c r="B21" s="38" t="s">
        <v>162</v>
      </c>
      <c r="C21" s="5"/>
      <c r="D21" s="50" t="s">
        <v>163</v>
      </c>
      <c r="E21" s="23"/>
      <c r="F21" s="23"/>
      <c r="G21" s="5" t="str">
        <f t="shared" si="0"/>
        <v>Zero</v>
      </c>
      <c r="H21" s="6">
        <f t="shared" si="1"/>
        <v>0</v>
      </c>
      <c r="I21" s="6" t="str">
        <f t="shared" si="2"/>
        <v>F</v>
      </c>
      <c r="J21" s="8" t="str">
        <f t="shared" si="3"/>
        <v xml:space="preserve"> </v>
      </c>
      <c r="K21" s="9" t="str">
        <f t="shared" si="4"/>
        <v>Fail in Th. &amp; Pr.</v>
      </c>
      <c r="L21" s="18"/>
      <c r="M21" s="19"/>
      <c r="N21" s="14"/>
      <c r="O21" s="1"/>
      <c r="P21" s="1"/>
      <c r="Q21" s="1"/>
      <c r="R21" s="1"/>
      <c r="S21" s="1"/>
      <c r="T21" s="1"/>
      <c r="U21" s="21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s="7" customFormat="1" ht="18" customHeight="1">
      <c r="A22" s="12">
        <v>15</v>
      </c>
      <c r="B22" s="47" t="s">
        <v>164</v>
      </c>
      <c r="D22" s="48" t="s">
        <v>165</v>
      </c>
      <c r="E22" s="23"/>
      <c r="F22" s="23"/>
      <c r="G22" s="5" t="str">
        <f t="shared" si="0"/>
        <v>Zero</v>
      </c>
      <c r="H22" s="6">
        <f t="shared" si="1"/>
        <v>0</v>
      </c>
      <c r="I22" s="6" t="str">
        <f t="shared" si="2"/>
        <v>F</v>
      </c>
      <c r="J22" s="8" t="str">
        <f t="shared" si="3"/>
        <v xml:space="preserve"> </v>
      </c>
      <c r="K22" s="9" t="str">
        <f t="shared" si="4"/>
        <v>Fail in Th. &amp; Pr.</v>
      </c>
      <c r="L22" s="18"/>
      <c r="M22" s="19"/>
      <c r="N22" s="14"/>
      <c r="O22" s="1"/>
      <c r="P22" s="1"/>
      <c r="Q22" s="1"/>
      <c r="R22" s="1"/>
      <c r="S22" s="1"/>
      <c r="T22" s="1"/>
      <c r="U22" s="21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s="7" customFormat="1" ht="18" customHeight="1">
      <c r="A23" s="12">
        <v>16</v>
      </c>
      <c r="B23" s="38" t="s">
        <v>166</v>
      </c>
      <c r="C23" s="49"/>
      <c r="D23" s="50" t="s">
        <v>167</v>
      </c>
      <c r="E23" s="23"/>
      <c r="F23" s="23"/>
      <c r="G23" s="5" t="str">
        <f t="shared" si="0"/>
        <v>Zero</v>
      </c>
      <c r="H23" s="6">
        <f t="shared" si="1"/>
        <v>0</v>
      </c>
      <c r="I23" s="6" t="str">
        <f t="shared" si="2"/>
        <v>F</v>
      </c>
      <c r="J23" s="8" t="str">
        <f t="shared" si="3"/>
        <v xml:space="preserve"> </v>
      </c>
      <c r="K23" s="9" t="str">
        <f t="shared" si="4"/>
        <v>Fail in Th. &amp; Pr.</v>
      </c>
      <c r="L23" s="18"/>
      <c r="M23" s="19"/>
      <c r="N23" s="14"/>
      <c r="O23" s="1"/>
      <c r="P23" s="1"/>
      <c r="Q23" s="1"/>
      <c r="R23" s="1"/>
      <c r="S23" s="1"/>
      <c r="T23" s="1"/>
      <c r="U23" s="21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s="7" customFormat="1" ht="18" customHeight="1">
      <c r="A24" s="12">
        <v>17</v>
      </c>
      <c r="B24" s="47" t="s">
        <v>168</v>
      </c>
      <c r="D24" s="48" t="s">
        <v>169</v>
      </c>
      <c r="E24" s="23"/>
      <c r="F24" s="23"/>
      <c r="G24" s="5" t="str">
        <f t="shared" si="0"/>
        <v>Zero</v>
      </c>
      <c r="H24" s="6">
        <f t="shared" si="1"/>
        <v>0</v>
      </c>
      <c r="I24" s="6" t="str">
        <f t="shared" si="2"/>
        <v>F</v>
      </c>
      <c r="J24" s="8" t="str">
        <f t="shared" si="3"/>
        <v xml:space="preserve"> </v>
      </c>
      <c r="K24" s="9" t="str">
        <f t="shared" si="4"/>
        <v>Fail in Th. &amp; Pr.</v>
      </c>
      <c r="L24" s="18"/>
      <c r="M24" s="19"/>
      <c r="N24" s="14"/>
      <c r="O24" s="1"/>
      <c r="P24" s="1"/>
      <c r="Q24" s="1"/>
      <c r="R24" s="1"/>
      <c r="S24" s="1"/>
      <c r="T24" s="1"/>
      <c r="U24" s="21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s="7" customFormat="1" ht="18" customHeight="1">
      <c r="A25" s="12">
        <v>18</v>
      </c>
      <c r="B25" s="47" t="s">
        <v>170</v>
      </c>
      <c r="C25" s="20"/>
      <c r="D25" s="54" t="s">
        <v>171</v>
      </c>
      <c r="E25" s="23"/>
      <c r="F25" s="23"/>
      <c r="G25" s="5" t="str">
        <f t="shared" si="0"/>
        <v>Zero</v>
      </c>
      <c r="H25" s="6">
        <f t="shared" si="1"/>
        <v>0</v>
      </c>
      <c r="I25" s="6" t="str">
        <f t="shared" si="2"/>
        <v>F</v>
      </c>
      <c r="J25" s="8" t="str">
        <f t="shared" si="3"/>
        <v xml:space="preserve"> </v>
      </c>
      <c r="K25" s="9" t="str">
        <f t="shared" si="4"/>
        <v>Fail in Th. &amp; Pr.</v>
      </c>
      <c r="L25" s="18"/>
      <c r="M25" s="19"/>
      <c r="N25" s="14"/>
      <c r="O25" s="1"/>
      <c r="P25" s="1"/>
      <c r="Q25" s="1"/>
      <c r="R25" s="1"/>
      <c r="S25" s="1"/>
      <c r="T25" s="1"/>
      <c r="U25" s="21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s="7" customFormat="1" ht="18" customHeight="1">
      <c r="A26" s="12">
        <v>19</v>
      </c>
      <c r="B26" s="47" t="s">
        <v>172</v>
      </c>
      <c r="C26" s="49"/>
      <c r="D26" s="48" t="s">
        <v>173</v>
      </c>
      <c r="E26" s="23"/>
      <c r="F26" s="23"/>
      <c r="G26" s="5" t="str">
        <f t="shared" si="0"/>
        <v>Zero</v>
      </c>
      <c r="H26" s="6">
        <f t="shared" si="1"/>
        <v>0</v>
      </c>
      <c r="I26" s="6" t="str">
        <f t="shared" si="2"/>
        <v>F</v>
      </c>
      <c r="J26" s="8" t="str">
        <f t="shared" si="3"/>
        <v xml:space="preserve"> </v>
      </c>
      <c r="K26" s="9" t="str">
        <f t="shared" si="4"/>
        <v>Fail in Th. &amp; Pr.</v>
      </c>
      <c r="L26" s="18"/>
      <c r="M26" s="19"/>
      <c r="N26" s="14"/>
      <c r="O26" s="1"/>
      <c r="P26" s="1"/>
      <c r="Q26" s="1"/>
      <c r="R26" s="1"/>
      <c r="S26" s="1"/>
      <c r="T26" s="1"/>
      <c r="U26" s="21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s="7" customFormat="1" ht="18" customHeight="1">
      <c r="A27" s="12">
        <v>20</v>
      </c>
      <c r="B27" s="47" t="s">
        <v>174</v>
      </c>
      <c r="D27" s="48" t="s">
        <v>175</v>
      </c>
      <c r="E27" s="23"/>
      <c r="F27" s="23"/>
      <c r="G27" s="5" t="str">
        <f t="shared" si="0"/>
        <v>Zero</v>
      </c>
      <c r="H27" s="6">
        <f t="shared" si="1"/>
        <v>0</v>
      </c>
      <c r="I27" s="6" t="str">
        <f t="shared" si="2"/>
        <v>F</v>
      </c>
      <c r="J27" s="8" t="str">
        <f t="shared" si="3"/>
        <v xml:space="preserve"> </v>
      </c>
      <c r="K27" s="9" t="str">
        <f t="shared" si="4"/>
        <v>Fail in Th. &amp; Pr.</v>
      </c>
      <c r="L27" s="18"/>
      <c r="M27" s="19"/>
      <c r="N27" s="14"/>
      <c r="O27" s="1"/>
      <c r="P27" s="1"/>
      <c r="Q27" s="1"/>
      <c r="R27" s="1"/>
      <c r="S27" s="1"/>
      <c r="T27" s="1"/>
      <c r="U27" s="21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s="7" customFormat="1" ht="18" customHeight="1">
      <c r="A28" s="12">
        <v>21</v>
      </c>
      <c r="B28" s="47" t="s">
        <v>176</v>
      </c>
      <c r="C28" s="49"/>
      <c r="D28" s="48" t="s">
        <v>177</v>
      </c>
      <c r="E28" s="23"/>
      <c r="F28" s="23"/>
      <c r="G28" s="5" t="str">
        <f t="shared" si="0"/>
        <v>Zero</v>
      </c>
      <c r="H28" s="6">
        <f t="shared" si="1"/>
        <v>0</v>
      </c>
      <c r="I28" s="6" t="str">
        <f t="shared" si="2"/>
        <v>F</v>
      </c>
      <c r="J28" s="8" t="str">
        <f t="shared" si="3"/>
        <v xml:space="preserve"> </v>
      </c>
      <c r="K28" s="9" t="str">
        <f t="shared" si="4"/>
        <v>Fail in Th. &amp; Pr.</v>
      </c>
      <c r="L28" s="18"/>
      <c r="M28" s="19"/>
      <c r="N28" s="14"/>
      <c r="O28" s="1"/>
      <c r="P28" s="1"/>
      <c r="Q28" s="1"/>
      <c r="R28" s="1"/>
      <c r="S28" s="1"/>
      <c r="T28" s="1"/>
      <c r="U28" s="21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s="7" customFormat="1" ht="18" customHeight="1">
      <c r="A29" s="12">
        <v>22</v>
      </c>
      <c r="B29" s="47" t="s">
        <v>178</v>
      </c>
      <c r="C29" s="49"/>
      <c r="D29" s="48" t="s">
        <v>179</v>
      </c>
      <c r="E29" s="23"/>
      <c r="F29" s="23"/>
      <c r="G29" s="5" t="str">
        <f t="shared" si="0"/>
        <v>Zero</v>
      </c>
      <c r="H29" s="6">
        <f t="shared" si="1"/>
        <v>0</v>
      </c>
      <c r="I29" s="6" t="str">
        <f t="shared" si="2"/>
        <v>F</v>
      </c>
      <c r="J29" s="8" t="str">
        <f t="shared" si="3"/>
        <v xml:space="preserve"> </v>
      </c>
      <c r="K29" s="9" t="str">
        <f t="shared" si="4"/>
        <v>Fail in Th. &amp; Pr.</v>
      </c>
      <c r="L29" s="18"/>
      <c r="M29" s="19"/>
      <c r="N29" s="14"/>
      <c r="O29" s="1"/>
      <c r="P29" s="1"/>
      <c r="Q29" s="1"/>
      <c r="R29" s="1"/>
      <c r="S29" s="1"/>
      <c r="T29" s="1"/>
      <c r="U29" s="21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s="7" customFormat="1" ht="18" customHeight="1">
      <c r="A30" s="12">
        <v>23</v>
      </c>
      <c r="B30" s="47" t="s">
        <v>180</v>
      </c>
      <c r="D30" s="48" t="s">
        <v>181</v>
      </c>
      <c r="E30" s="23"/>
      <c r="F30" s="23"/>
      <c r="G30" s="5" t="str">
        <f t="shared" si="0"/>
        <v>Zero</v>
      </c>
      <c r="H30" s="6">
        <f t="shared" si="1"/>
        <v>0</v>
      </c>
      <c r="I30" s="6" t="str">
        <f t="shared" si="2"/>
        <v>F</v>
      </c>
      <c r="J30" s="8" t="str">
        <f t="shared" si="3"/>
        <v xml:space="preserve"> </v>
      </c>
      <c r="K30" s="9" t="str">
        <f t="shared" si="4"/>
        <v>Fail in Th. &amp; Pr.</v>
      </c>
      <c r="L30" s="18"/>
      <c r="M30" s="19"/>
      <c r="N30" s="14"/>
      <c r="O30" s="1"/>
      <c r="P30" s="1"/>
      <c r="Q30" s="1"/>
      <c r="R30" s="1"/>
      <c r="S30" s="1"/>
      <c r="T30" s="1"/>
      <c r="U30" s="21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s="7" customFormat="1" ht="18" customHeight="1">
      <c r="A31" s="12">
        <v>24</v>
      </c>
      <c r="B31" s="47" t="s">
        <v>182</v>
      </c>
      <c r="D31" s="48" t="s">
        <v>183</v>
      </c>
      <c r="E31" s="23"/>
      <c r="F31" s="23"/>
      <c r="G31" s="5" t="str">
        <f t="shared" si="0"/>
        <v>Zero</v>
      </c>
      <c r="H31" s="6">
        <f t="shared" si="1"/>
        <v>0</v>
      </c>
      <c r="I31" s="6" t="str">
        <f t="shared" si="2"/>
        <v>F</v>
      </c>
      <c r="J31" s="8" t="str">
        <f t="shared" si="3"/>
        <v xml:space="preserve"> </v>
      </c>
      <c r="K31" s="9" t="str">
        <f t="shared" si="4"/>
        <v>Fail in Th. &amp; Pr.</v>
      </c>
      <c r="L31" s="18"/>
      <c r="M31" s="19"/>
      <c r="N31" s="14"/>
      <c r="O31" s="1"/>
      <c r="P31" s="1"/>
      <c r="Q31" s="1"/>
      <c r="R31" s="1"/>
      <c r="S31" s="1"/>
      <c r="T31" s="1"/>
      <c r="U31" s="21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s="7" customFormat="1" ht="18" customHeight="1">
      <c r="A32" s="12">
        <v>25</v>
      </c>
      <c r="B32" s="47" t="s">
        <v>184</v>
      </c>
      <c r="C32" s="49"/>
      <c r="D32" s="54" t="s">
        <v>185</v>
      </c>
      <c r="E32" s="23"/>
      <c r="F32" s="23"/>
      <c r="G32" s="5" t="str">
        <f t="shared" si="0"/>
        <v>Zero</v>
      </c>
      <c r="H32" s="6">
        <f t="shared" si="1"/>
        <v>0</v>
      </c>
      <c r="I32" s="6" t="str">
        <f t="shared" si="2"/>
        <v>F</v>
      </c>
      <c r="J32" s="8" t="str">
        <f t="shared" si="3"/>
        <v xml:space="preserve"> </v>
      </c>
      <c r="K32" s="9" t="str">
        <f t="shared" si="4"/>
        <v>Fail in Th. &amp; Pr.</v>
      </c>
      <c r="L32" s="18"/>
      <c r="M32" s="19"/>
      <c r="N32" s="14"/>
      <c r="O32" s="1"/>
      <c r="P32" s="1"/>
      <c r="Q32" s="1"/>
      <c r="R32" s="1"/>
      <c r="S32" s="1"/>
      <c r="T32" s="1"/>
      <c r="U32" s="21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s="7" customFormat="1" ht="18" customHeight="1">
      <c r="A33" s="12">
        <v>26</v>
      </c>
      <c r="B33" s="47" t="s">
        <v>186</v>
      </c>
      <c r="D33" s="48" t="s">
        <v>187</v>
      </c>
      <c r="E33" s="23"/>
      <c r="F33" s="23"/>
      <c r="G33" s="5" t="str">
        <f t="shared" si="0"/>
        <v>Zero</v>
      </c>
      <c r="H33" s="6">
        <f t="shared" si="1"/>
        <v>0</v>
      </c>
      <c r="I33" s="6" t="str">
        <f t="shared" si="2"/>
        <v>F</v>
      </c>
      <c r="J33" s="8" t="str">
        <f t="shared" si="3"/>
        <v xml:space="preserve"> </v>
      </c>
      <c r="K33" s="9" t="str">
        <f t="shared" si="4"/>
        <v>Fail in Th. &amp; Pr.</v>
      </c>
      <c r="L33" s="18"/>
      <c r="M33" s="19"/>
      <c r="N33" s="14"/>
      <c r="O33" s="1"/>
      <c r="P33" s="1"/>
      <c r="Q33" s="1"/>
      <c r="R33" s="1"/>
      <c r="S33" s="1"/>
      <c r="T33" s="1"/>
      <c r="U33" s="21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 s="7" customFormat="1" ht="18" customHeight="1">
      <c r="A34" s="12">
        <v>27</v>
      </c>
      <c r="B34" s="47" t="s">
        <v>188</v>
      </c>
      <c r="D34" s="48" t="s">
        <v>189</v>
      </c>
      <c r="E34" s="23"/>
      <c r="F34" s="23"/>
      <c r="G34" s="5" t="str">
        <f t="shared" si="0"/>
        <v>Zero</v>
      </c>
      <c r="H34" s="6">
        <f t="shared" si="1"/>
        <v>0</v>
      </c>
      <c r="I34" s="6" t="str">
        <f t="shared" si="2"/>
        <v>F</v>
      </c>
      <c r="J34" s="8" t="str">
        <f t="shared" si="3"/>
        <v xml:space="preserve"> </v>
      </c>
      <c r="K34" s="9" t="str">
        <f t="shared" si="4"/>
        <v>Fail in Th. &amp; Pr.</v>
      </c>
      <c r="L34" s="18"/>
      <c r="M34" s="19"/>
      <c r="N34" s="14"/>
      <c r="O34" s="1"/>
      <c r="P34" s="1"/>
      <c r="Q34" s="1"/>
      <c r="R34" s="1"/>
      <c r="S34" s="1"/>
      <c r="T34" s="1"/>
      <c r="U34" s="21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s="7" customFormat="1" ht="18" customHeight="1">
      <c r="A35" s="12">
        <v>28</v>
      </c>
      <c r="B35" s="47" t="s">
        <v>190</v>
      </c>
      <c r="D35" s="48" t="s">
        <v>191</v>
      </c>
      <c r="E35" s="23"/>
      <c r="F35" s="24"/>
      <c r="G35" s="5" t="str">
        <f t="shared" si="0"/>
        <v>Zero</v>
      </c>
      <c r="H35" s="6">
        <f t="shared" si="1"/>
        <v>0</v>
      </c>
      <c r="I35" s="6" t="str">
        <f t="shared" si="2"/>
        <v>F</v>
      </c>
      <c r="J35" s="8" t="str">
        <f t="shared" si="3"/>
        <v xml:space="preserve"> </v>
      </c>
      <c r="K35" s="9" t="str">
        <f t="shared" si="4"/>
        <v>Fail in Th. &amp; Pr.</v>
      </c>
      <c r="L35" s="18"/>
      <c r="M35" s="19"/>
      <c r="N35" s="14"/>
      <c r="O35" s="1"/>
      <c r="P35" s="1"/>
      <c r="Q35" s="1"/>
      <c r="R35" s="1"/>
      <c r="S35" s="1"/>
      <c r="T35" s="1"/>
      <c r="U35" s="21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s="7" customFormat="1" ht="18" customHeight="1">
      <c r="A36" s="12">
        <v>29</v>
      </c>
      <c r="B36" s="47" t="s">
        <v>192</v>
      </c>
      <c r="C36" s="20"/>
      <c r="D36" s="54" t="s">
        <v>193</v>
      </c>
      <c r="E36" s="23"/>
      <c r="F36" s="23"/>
      <c r="G36" s="5" t="str">
        <f t="shared" si="0"/>
        <v>Zero</v>
      </c>
      <c r="H36" s="6">
        <f t="shared" si="1"/>
        <v>0</v>
      </c>
      <c r="I36" s="6" t="str">
        <f t="shared" si="2"/>
        <v>F</v>
      </c>
      <c r="J36" s="8" t="str">
        <f t="shared" si="3"/>
        <v xml:space="preserve"> </v>
      </c>
      <c r="K36" s="9" t="str">
        <f t="shared" si="4"/>
        <v>Fail in Th. &amp; Pr.</v>
      </c>
      <c r="L36" s="18"/>
      <c r="M36" s="19"/>
      <c r="N36" s="14"/>
      <c r="O36" s="1"/>
      <c r="P36" s="1"/>
      <c r="Q36" s="1"/>
      <c r="R36" s="1"/>
      <c r="S36" s="1"/>
      <c r="T36" s="1"/>
      <c r="U36" s="21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s="7" customFormat="1" ht="18" customHeight="1">
      <c r="A37" s="12">
        <v>30</v>
      </c>
      <c r="B37" s="23" t="s">
        <v>194</v>
      </c>
      <c r="C37" s="13"/>
      <c r="D37" s="46" t="s">
        <v>195</v>
      </c>
      <c r="E37" s="25"/>
      <c r="F37" s="23"/>
      <c r="G37" s="5" t="str">
        <f t="shared" si="0"/>
        <v>Zero</v>
      </c>
      <c r="H37" s="6">
        <f t="shared" si="1"/>
        <v>0</v>
      </c>
      <c r="I37" s="6" t="str">
        <f t="shared" si="2"/>
        <v>F</v>
      </c>
      <c r="J37" s="8" t="str">
        <f t="shared" si="3"/>
        <v xml:space="preserve"> </v>
      </c>
      <c r="K37" s="9" t="str">
        <f t="shared" si="4"/>
        <v>Fail in Th. &amp; Pr.</v>
      </c>
      <c r="L37" s="18"/>
      <c r="M37" s="19"/>
      <c r="N37" s="14"/>
      <c r="O37" s="1"/>
      <c r="P37" s="1"/>
      <c r="Q37" s="1"/>
      <c r="R37" s="1"/>
      <c r="S37" s="1"/>
      <c r="T37" s="1"/>
      <c r="U37" s="21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s="7" customFormat="1" ht="18" customHeight="1">
      <c r="A38" s="12">
        <v>31</v>
      </c>
      <c r="B38" s="23" t="s">
        <v>196</v>
      </c>
      <c r="C38" s="13"/>
      <c r="D38" s="46" t="s">
        <v>197</v>
      </c>
      <c r="E38" s="23"/>
      <c r="F38" s="23"/>
      <c r="G38" s="5" t="str">
        <f t="shared" si="0"/>
        <v>Zero</v>
      </c>
      <c r="H38" s="6">
        <f t="shared" si="1"/>
        <v>0</v>
      </c>
      <c r="I38" s="6" t="str">
        <f t="shared" si="2"/>
        <v>F</v>
      </c>
      <c r="J38" s="8" t="str">
        <f t="shared" si="3"/>
        <v xml:space="preserve"> </v>
      </c>
      <c r="K38" s="9" t="str">
        <f t="shared" si="4"/>
        <v>Fail in Th. &amp; Pr.</v>
      </c>
      <c r="L38" s="18"/>
      <c r="M38" s="19"/>
      <c r="N38" s="14"/>
      <c r="O38" s="1"/>
      <c r="P38" s="1"/>
      <c r="Q38" s="1"/>
      <c r="R38" s="1"/>
      <c r="S38" s="1"/>
      <c r="T38" s="1"/>
      <c r="U38" s="21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s="7" customFormat="1" ht="18" customHeight="1">
      <c r="A39" s="12">
        <v>32</v>
      </c>
      <c r="B39" s="23" t="s">
        <v>198</v>
      </c>
      <c r="C39" s="13"/>
      <c r="D39" s="46" t="s">
        <v>199</v>
      </c>
      <c r="E39" s="23"/>
      <c r="F39" s="23"/>
      <c r="G39" s="5" t="str">
        <f t="shared" si="0"/>
        <v>Zero</v>
      </c>
      <c r="H39" s="6">
        <f t="shared" si="1"/>
        <v>0</v>
      </c>
      <c r="I39" s="6" t="str">
        <f t="shared" si="2"/>
        <v>F</v>
      </c>
      <c r="J39" s="8" t="str">
        <f t="shared" si="3"/>
        <v xml:space="preserve"> </v>
      </c>
      <c r="K39" s="9" t="str">
        <f t="shared" si="4"/>
        <v>Fail in Th. &amp; Pr.</v>
      </c>
      <c r="L39" s="18"/>
      <c r="M39" s="19"/>
      <c r="N39" s="14"/>
      <c r="O39" s="1"/>
      <c r="P39" s="1"/>
      <c r="Q39" s="1"/>
      <c r="R39" s="1"/>
      <c r="S39" s="1"/>
      <c r="T39" s="1"/>
      <c r="U39" s="21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s="7" customFormat="1" ht="18" customHeight="1">
      <c r="A40" s="12">
        <v>33</v>
      </c>
      <c r="B40" s="23" t="s">
        <v>200</v>
      </c>
      <c r="C40" s="13"/>
      <c r="D40" s="46" t="s">
        <v>201</v>
      </c>
      <c r="E40" s="23"/>
      <c r="F40" s="23"/>
      <c r="G40" s="5" t="str">
        <f t="shared" si="0"/>
        <v>Zero</v>
      </c>
      <c r="H40" s="6">
        <f t="shared" si="1"/>
        <v>0</v>
      </c>
      <c r="I40" s="6" t="str">
        <f t="shared" si="2"/>
        <v>F</v>
      </c>
      <c r="J40" s="8" t="str">
        <f t="shared" si="3"/>
        <v xml:space="preserve"> </v>
      </c>
      <c r="K40" s="9" t="str">
        <f t="shared" si="4"/>
        <v>Fail in Th. &amp; Pr.</v>
      </c>
      <c r="L40" s="18"/>
      <c r="M40" s="19"/>
      <c r="N40" s="14"/>
      <c r="O40" s="1"/>
      <c r="P40" s="1"/>
      <c r="Q40" s="1"/>
      <c r="R40" s="1"/>
      <c r="S40" s="1"/>
      <c r="T40" s="1"/>
      <c r="U40" s="21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s="7" customFormat="1" ht="18" customHeight="1">
      <c r="A41" s="12">
        <v>34</v>
      </c>
      <c r="B41" s="23" t="s">
        <v>202</v>
      </c>
      <c r="C41" s="13"/>
      <c r="D41" s="46" t="s">
        <v>203</v>
      </c>
      <c r="E41" s="23"/>
      <c r="F41" s="23"/>
      <c r="G41" s="5" t="str">
        <f t="shared" si="0"/>
        <v>Zero</v>
      </c>
      <c r="H41" s="6">
        <f t="shared" si="1"/>
        <v>0</v>
      </c>
      <c r="I41" s="6" t="str">
        <f t="shared" si="2"/>
        <v>F</v>
      </c>
      <c r="J41" s="8" t="str">
        <f t="shared" si="3"/>
        <v xml:space="preserve"> </v>
      </c>
      <c r="K41" s="9" t="str">
        <f t="shared" si="4"/>
        <v>Fail in Th. &amp; Pr.</v>
      </c>
      <c r="L41" s="18"/>
      <c r="M41" s="19"/>
      <c r="N41" s="14"/>
      <c r="O41" s="1"/>
      <c r="P41" s="1"/>
      <c r="Q41" s="1"/>
      <c r="R41" s="1"/>
      <c r="S41" s="1"/>
      <c r="T41" s="1"/>
      <c r="U41" s="21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s="7" customFormat="1" ht="18" customHeight="1">
      <c r="A42" s="12">
        <v>35</v>
      </c>
      <c r="B42" s="23"/>
      <c r="C42" s="13"/>
      <c r="D42" s="46"/>
      <c r="E42" s="23"/>
      <c r="F42" s="23"/>
      <c r="G42" s="5" t="str">
        <f t="shared" si="0"/>
        <v>Zero</v>
      </c>
      <c r="H42" s="6">
        <f t="shared" si="1"/>
        <v>0</v>
      </c>
      <c r="I42" s="6" t="str">
        <f t="shared" si="2"/>
        <v>F</v>
      </c>
      <c r="J42" s="8" t="str">
        <f t="shared" si="3"/>
        <v xml:space="preserve"> </v>
      </c>
      <c r="K42" s="9" t="str">
        <f t="shared" si="4"/>
        <v>Fail in Th. &amp; Pr.</v>
      </c>
      <c r="L42" s="18"/>
      <c r="M42" s="19"/>
      <c r="N42" s="14"/>
      <c r="O42" s="1"/>
      <c r="P42" s="1"/>
      <c r="Q42" s="1"/>
      <c r="R42" s="1"/>
      <c r="S42" s="1"/>
      <c r="T42" s="1"/>
      <c r="U42" s="21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s="7" customFormat="1" ht="18" customHeight="1">
      <c r="A43" s="12">
        <v>36</v>
      </c>
      <c r="B43" s="23"/>
      <c r="C43" s="13"/>
      <c r="D43" s="46"/>
      <c r="E43" s="23"/>
      <c r="F43" s="23"/>
      <c r="G43" s="5" t="str">
        <f t="shared" si="0"/>
        <v>Zero</v>
      </c>
      <c r="H43" s="6">
        <f t="shared" si="1"/>
        <v>0</v>
      </c>
      <c r="I43" s="6" t="str">
        <f t="shared" si="2"/>
        <v>F</v>
      </c>
      <c r="J43" s="8" t="str">
        <f t="shared" si="3"/>
        <v xml:space="preserve"> </v>
      </c>
      <c r="K43" s="9" t="str">
        <f t="shared" si="4"/>
        <v>Fail in Th. &amp; Pr.</v>
      </c>
      <c r="L43" s="18"/>
      <c r="M43" s="19"/>
      <c r="N43" s="14"/>
      <c r="O43" s="1"/>
      <c r="P43" s="1"/>
      <c r="Q43" s="1"/>
      <c r="R43" s="1"/>
      <c r="S43" s="1"/>
      <c r="T43" s="1"/>
      <c r="U43" s="21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s="7" customFormat="1" ht="18" customHeight="1">
      <c r="A44" s="12">
        <v>37</v>
      </c>
      <c r="B44" s="23"/>
      <c r="C44" s="13"/>
      <c r="D44" s="46"/>
      <c r="E44" s="37"/>
      <c r="F44" s="23"/>
      <c r="G44" s="5" t="str">
        <f t="shared" si="0"/>
        <v>Zero</v>
      </c>
      <c r="H44" s="6">
        <f t="shared" si="1"/>
        <v>0</v>
      </c>
      <c r="I44" s="6" t="str">
        <f t="shared" si="2"/>
        <v>F</v>
      </c>
      <c r="J44" s="8" t="str">
        <f t="shared" si="3"/>
        <v xml:space="preserve"> </v>
      </c>
      <c r="K44" s="9" t="str">
        <f t="shared" si="4"/>
        <v>Fail in Th. &amp; Pr.</v>
      </c>
      <c r="L44" s="18"/>
      <c r="M44" s="19"/>
      <c r="N44" s="14"/>
      <c r="O44" s="1"/>
      <c r="P44" s="1"/>
      <c r="Q44" s="1"/>
      <c r="R44" s="1"/>
      <c r="S44" s="1"/>
      <c r="T44" s="1"/>
      <c r="U44" s="21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s="7" customFormat="1" ht="18" customHeight="1">
      <c r="A45" s="12">
        <v>38</v>
      </c>
      <c r="B45" s="23"/>
      <c r="C45" s="13"/>
      <c r="D45" s="46"/>
      <c r="E45" s="23"/>
      <c r="F45" s="23"/>
      <c r="G45" s="5" t="str">
        <f t="shared" si="0"/>
        <v>Zero</v>
      </c>
      <c r="H45" s="6">
        <f t="shared" si="1"/>
        <v>0</v>
      </c>
      <c r="I45" s="6" t="str">
        <f t="shared" si="2"/>
        <v>F</v>
      </c>
      <c r="J45" s="8" t="str">
        <f t="shared" si="3"/>
        <v xml:space="preserve"> </v>
      </c>
      <c r="K45" s="9" t="str">
        <f t="shared" si="4"/>
        <v>Fail in Th. &amp; Pr.</v>
      </c>
      <c r="L45" s="18"/>
      <c r="M45" s="19"/>
      <c r="N45" s="14"/>
      <c r="O45" s="1"/>
      <c r="P45" s="1"/>
      <c r="Q45" s="1"/>
      <c r="R45" s="1"/>
      <c r="S45" s="1"/>
      <c r="T45" s="1"/>
      <c r="U45" s="21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s="7" customFormat="1" ht="18" customHeight="1">
      <c r="A46" s="12">
        <v>39</v>
      </c>
      <c r="B46" s="23"/>
      <c r="C46" s="13"/>
      <c r="D46" s="46"/>
      <c r="E46" s="23"/>
      <c r="F46" s="23"/>
      <c r="G46" s="5" t="str">
        <f t="shared" si="0"/>
        <v>Zero</v>
      </c>
      <c r="H46" s="6">
        <f t="shared" si="1"/>
        <v>0</v>
      </c>
      <c r="I46" s="6" t="str">
        <f t="shared" si="2"/>
        <v>F</v>
      </c>
      <c r="J46" s="8" t="str">
        <f t="shared" si="3"/>
        <v xml:space="preserve"> </v>
      </c>
      <c r="K46" s="9" t="str">
        <f t="shared" si="4"/>
        <v>Fail in Th. &amp; Pr.</v>
      </c>
      <c r="L46" s="18"/>
      <c r="M46" s="19"/>
      <c r="N46" s="14"/>
      <c r="O46" s="1"/>
      <c r="P46" s="1"/>
      <c r="Q46" s="1"/>
      <c r="R46" s="1"/>
      <c r="S46" s="1"/>
      <c r="T46" s="1"/>
      <c r="U46" s="21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s="7" customFormat="1" ht="18" customHeight="1">
      <c r="A47" s="12">
        <v>40</v>
      </c>
      <c r="B47" s="23"/>
      <c r="C47" s="13"/>
      <c r="D47" s="46"/>
      <c r="E47" s="23"/>
      <c r="F47" s="23"/>
      <c r="G47" s="5" t="str">
        <f t="shared" si="0"/>
        <v>Zero</v>
      </c>
      <c r="H47" s="6">
        <f t="shared" si="1"/>
        <v>0</v>
      </c>
      <c r="I47" s="6" t="str">
        <f t="shared" si="2"/>
        <v>F</v>
      </c>
      <c r="J47" s="8" t="str">
        <f t="shared" si="3"/>
        <v xml:space="preserve"> </v>
      </c>
      <c r="K47" s="9" t="str">
        <f t="shared" si="4"/>
        <v>Fail in Th. &amp; Pr.</v>
      </c>
      <c r="L47" s="18"/>
      <c r="M47" s="19"/>
      <c r="N47" s="14"/>
      <c r="O47" s="1"/>
      <c r="P47" s="1"/>
      <c r="Q47" s="1"/>
      <c r="R47" s="1"/>
      <c r="S47" s="1"/>
      <c r="T47" s="1"/>
      <c r="U47" s="21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s="7" customFormat="1" ht="18" customHeight="1">
      <c r="A48" s="12">
        <v>41</v>
      </c>
      <c r="B48" s="23"/>
      <c r="C48" s="13"/>
      <c r="D48" s="46"/>
      <c r="E48" s="23"/>
      <c r="F48" s="23"/>
      <c r="G48" s="5" t="str">
        <f t="shared" si="0"/>
        <v>Zero</v>
      </c>
      <c r="H48" s="6">
        <f t="shared" si="1"/>
        <v>0</v>
      </c>
      <c r="I48" s="6" t="str">
        <f t="shared" si="2"/>
        <v>F</v>
      </c>
      <c r="J48" s="8" t="str">
        <f t="shared" si="3"/>
        <v xml:space="preserve"> </v>
      </c>
      <c r="K48" s="9" t="str">
        <f t="shared" si="4"/>
        <v>Fail in Th. &amp; Pr.</v>
      </c>
      <c r="L48" s="18"/>
      <c r="M48" s="19"/>
      <c r="N48" s="14"/>
      <c r="O48" s="1"/>
      <c r="P48" s="1"/>
      <c r="Q48" s="1"/>
      <c r="R48" s="1"/>
      <c r="S48" s="1"/>
      <c r="T48" s="1"/>
      <c r="U48" s="21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s="7" customFormat="1" ht="18" customHeight="1">
      <c r="A49" s="12">
        <v>42</v>
      </c>
      <c r="B49" s="23"/>
      <c r="C49" s="13"/>
      <c r="D49" s="46"/>
      <c r="E49" s="23"/>
      <c r="F49" s="23"/>
      <c r="G49" s="5" t="str">
        <f t="shared" si="0"/>
        <v>Zero</v>
      </c>
      <c r="H49" s="6">
        <f t="shared" si="1"/>
        <v>0</v>
      </c>
      <c r="I49" s="6" t="str">
        <f t="shared" si="2"/>
        <v>F</v>
      </c>
      <c r="J49" s="8" t="str">
        <f t="shared" si="3"/>
        <v xml:space="preserve"> </v>
      </c>
      <c r="K49" s="9" t="str">
        <f t="shared" si="4"/>
        <v>Fail in Th. &amp; Pr.</v>
      </c>
      <c r="L49" s="18"/>
      <c r="M49" s="19"/>
      <c r="N49" s="14"/>
      <c r="O49" s="1"/>
      <c r="P49" s="1"/>
      <c r="Q49" s="1"/>
      <c r="R49" s="1"/>
      <c r="S49" s="1"/>
      <c r="T49" s="1"/>
      <c r="U49" s="21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s="7" customFormat="1" ht="18" customHeight="1">
      <c r="A50" s="12">
        <v>43</v>
      </c>
      <c r="B50" s="23"/>
      <c r="C50" s="13"/>
      <c r="D50" s="46"/>
      <c r="E50" s="23"/>
      <c r="F50" s="23"/>
      <c r="G50" s="5" t="str">
        <f t="shared" si="0"/>
        <v>Zero</v>
      </c>
      <c r="H50" s="6">
        <f t="shared" si="1"/>
        <v>0</v>
      </c>
      <c r="I50" s="6" t="str">
        <f t="shared" si="2"/>
        <v>F</v>
      </c>
      <c r="J50" s="8" t="str">
        <f t="shared" si="3"/>
        <v xml:space="preserve"> </v>
      </c>
      <c r="K50" s="9" t="str">
        <f t="shared" si="4"/>
        <v>Fail in Th. &amp; Pr.</v>
      </c>
      <c r="L50" s="18"/>
      <c r="M50" s="19"/>
      <c r="N50" s="14"/>
      <c r="O50" s="1"/>
      <c r="P50" s="1"/>
      <c r="Q50" s="1"/>
      <c r="R50" s="1"/>
      <c r="S50" s="1"/>
      <c r="T50" s="1"/>
      <c r="U50" s="21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s="7" customFormat="1" ht="18" customHeight="1">
      <c r="A51" s="12">
        <v>44</v>
      </c>
      <c r="B51" s="23"/>
      <c r="C51" s="13"/>
      <c r="D51" s="46"/>
      <c r="E51" s="23"/>
      <c r="F51" s="23"/>
      <c r="G51" s="5" t="str">
        <f t="shared" si="0"/>
        <v>Zero</v>
      </c>
      <c r="H51" s="6">
        <f t="shared" si="1"/>
        <v>0</v>
      </c>
      <c r="I51" s="6" t="str">
        <f t="shared" si="2"/>
        <v>F</v>
      </c>
      <c r="J51" s="8" t="str">
        <f t="shared" si="3"/>
        <v xml:space="preserve"> </v>
      </c>
      <c r="K51" s="9" t="str">
        <f t="shared" si="4"/>
        <v>Fail in Th. &amp; Pr.</v>
      </c>
      <c r="L51" s="18"/>
      <c r="M51" s="19"/>
      <c r="N51" s="14"/>
      <c r="O51" s="1"/>
      <c r="P51" s="1"/>
      <c r="Q51" s="1"/>
      <c r="R51" s="1"/>
      <c r="S51" s="1"/>
      <c r="T51" s="1"/>
      <c r="U51" s="21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s="7" customFormat="1" ht="18" customHeight="1">
      <c r="A52" s="12">
        <v>45</v>
      </c>
      <c r="B52" s="23"/>
      <c r="C52" s="13"/>
      <c r="D52" s="46"/>
      <c r="E52" s="23"/>
      <c r="F52" s="23"/>
      <c r="G52" s="5" t="str">
        <f t="shared" si="0"/>
        <v>Zero</v>
      </c>
      <c r="H52" s="6">
        <f t="shared" si="1"/>
        <v>0</v>
      </c>
      <c r="I52" s="6" t="str">
        <f t="shared" si="2"/>
        <v>F</v>
      </c>
      <c r="J52" s="8" t="str">
        <f t="shared" si="3"/>
        <v xml:space="preserve"> </v>
      </c>
      <c r="K52" s="9" t="str">
        <f t="shared" si="4"/>
        <v>Fail in Th. &amp; Pr.</v>
      </c>
      <c r="L52" s="18"/>
      <c r="M52" s="19"/>
      <c r="N52" s="14"/>
      <c r="O52" s="1"/>
      <c r="P52" s="1"/>
      <c r="Q52" s="1"/>
      <c r="R52" s="1"/>
      <c r="S52" s="1"/>
      <c r="T52" s="1"/>
      <c r="U52" s="21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s="7" customFormat="1" ht="18" customHeight="1">
      <c r="A53" s="12">
        <v>46</v>
      </c>
      <c r="B53" s="23"/>
      <c r="C53" s="13"/>
      <c r="D53" s="46"/>
      <c r="E53" s="23"/>
      <c r="F53" s="26"/>
      <c r="G53" s="5" t="str">
        <f t="shared" si="0"/>
        <v>Zero</v>
      </c>
      <c r="H53" s="6">
        <f t="shared" si="1"/>
        <v>0</v>
      </c>
      <c r="I53" s="6" t="str">
        <f t="shared" si="2"/>
        <v>F</v>
      </c>
      <c r="J53" s="8" t="str">
        <f t="shared" si="3"/>
        <v xml:space="preserve"> </v>
      </c>
      <c r="K53" s="9" t="str">
        <f t="shared" si="4"/>
        <v>Fail in Th. &amp; Pr.</v>
      </c>
      <c r="L53" s="18"/>
      <c r="M53" s="19"/>
      <c r="N53" s="14"/>
      <c r="O53" s="1"/>
      <c r="P53" s="1"/>
      <c r="Q53" s="1"/>
      <c r="R53" s="1"/>
      <c r="S53" s="1"/>
      <c r="T53" s="1"/>
      <c r="U53" s="21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s="7" customFormat="1" ht="18" customHeight="1">
      <c r="A54" s="12">
        <v>47</v>
      </c>
      <c r="B54" s="23"/>
      <c r="C54" s="13"/>
      <c r="D54" s="46"/>
      <c r="E54" s="23"/>
      <c r="F54" s="23"/>
      <c r="G54" s="5" t="str">
        <f t="shared" si="0"/>
        <v>Zero</v>
      </c>
      <c r="H54" s="6">
        <f t="shared" si="1"/>
        <v>0</v>
      </c>
      <c r="I54" s="6" t="str">
        <f t="shared" si="2"/>
        <v>F</v>
      </c>
      <c r="J54" s="8" t="str">
        <f t="shared" si="3"/>
        <v xml:space="preserve"> </v>
      </c>
      <c r="K54" s="9" t="str">
        <f t="shared" si="4"/>
        <v>Fail in Th. &amp; Pr.</v>
      </c>
      <c r="L54" s="18"/>
      <c r="M54" s="19"/>
      <c r="N54" s="14"/>
      <c r="O54" s="1"/>
      <c r="P54" s="1"/>
      <c r="Q54" s="1"/>
      <c r="R54" s="1"/>
      <c r="S54" s="1"/>
      <c r="T54" s="1"/>
      <c r="U54" s="21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s="7" customFormat="1" ht="18" customHeight="1">
      <c r="A55" s="12">
        <v>48</v>
      </c>
      <c r="B55" s="23"/>
      <c r="C55" s="13"/>
      <c r="D55" s="46"/>
      <c r="E55" s="23"/>
      <c r="F55" s="23"/>
      <c r="G55" s="5" t="str">
        <f t="shared" si="0"/>
        <v>Zero</v>
      </c>
      <c r="H55" s="6">
        <f t="shared" si="1"/>
        <v>0</v>
      </c>
      <c r="I55" s="6" t="str">
        <f t="shared" si="2"/>
        <v>F</v>
      </c>
      <c r="J55" s="8" t="str">
        <f t="shared" si="3"/>
        <v xml:space="preserve"> </v>
      </c>
      <c r="K55" s="9" t="str">
        <f t="shared" si="4"/>
        <v>Fail in Th. &amp; Pr.</v>
      </c>
      <c r="L55" s="18"/>
      <c r="M55" s="19"/>
      <c r="N55" s="14"/>
      <c r="O55" s="1"/>
      <c r="P55" s="1"/>
      <c r="Q55" s="1"/>
      <c r="R55" s="1"/>
      <c r="S55" s="1"/>
      <c r="T55" s="1"/>
      <c r="U55" s="21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s="7" customFormat="1" ht="18" customHeight="1">
      <c r="A56" s="12">
        <v>49</v>
      </c>
      <c r="B56" s="23"/>
      <c r="C56" s="13"/>
      <c r="D56" s="46"/>
      <c r="E56" s="23"/>
      <c r="F56" s="23"/>
      <c r="G56" s="5" t="str">
        <f t="shared" si="0"/>
        <v>Zero</v>
      </c>
      <c r="H56" s="6">
        <f t="shared" si="1"/>
        <v>0</v>
      </c>
      <c r="I56" s="6" t="str">
        <f t="shared" si="2"/>
        <v>F</v>
      </c>
      <c r="J56" s="8" t="str">
        <f t="shared" si="3"/>
        <v xml:space="preserve"> </v>
      </c>
      <c r="K56" s="9" t="str">
        <f t="shared" si="4"/>
        <v>Fail in Th. &amp; Pr.</v>
      </c>
      <c r="L56" s="18"/>
      <c r="M56" s="19"/>
      <c r="N56" s="14"/>
      <c r="O56" s="1"/>
      <c r="P56" s="1"/>
      <c r="Q56" s="1"/>
      <c r="R56" s="1"/>
      <c r="S56" s="1"/>
      <c r="T56" s="1"/>
      <c r="U56" s="21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s="7" customFormat="1" ht="18" customHeight="1">
      <c r="A57" s="12">
        <v>50</v>
      </c>
      <c r="B57" s="23"/>
      <c r="C57" s="13"/>
      <c r="D57" s="46"/>
      <c r="E57" s="23"/>
      <c r="F57" s="23"/>
      <c r="G57" s="5" t="str">
        <f t="shared" si="0"/>
        <v>Zero</v>
      </c>
      <c r="H57" s="6">
        <f t="shared" si="1"/>
        <v>0</v>
      </c>
      <c r="I57" s="6" t="str">
        <f t="shared" si="2"/>
        <v>F</v>
      </c>
      <c r="J57" s="8" t="str">
        <f t="shared" si="3"/>
        <v xml:space="preserve"> </v>
      </c>
      <c r="K57" s="9" t="str">
        <f t="shared" si="4"/>
        <v>Fail in Th. &amp; Pr.</v>
      </c>
      <c r="L57" s="18"/>
      <c r="M57" s="19"/>
      <c r="N57" s="14"/>
      <c r="O57" s="1"/>
      <c r="P57" s="1"/>
      <c r="Q57" s="1"/>
      <c r="R57" s="1"/>
      <c r="S57" s="1"/>
      <c r="T57" s="1"/>
      <c r="U57" s="21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s="7" customFormat="1" ht="18" customHeight="1">
      <c r="A58" s="12">
        <v>51</v>
      </c>
      <c r="B58" s="23"/>
      <c r="C58" s="13"/>
      <c r="D58" s="46"/>
      <c r="E58" s="23"/>
      <c r="F58" s="23"/>
      <c r="G58" s="5" t="str">
        <f t="shared" si="0"/>
        <v>Zero</v>
      </c>
      <c r="H58" s="6">
        <f t="shared" ref="H58:H63" si="5">SUM(E58:F58)</f>
        <v>0</v>
      </c>
      <c r="I58" s="6" t="str">
        <f t="shared" si="2"/>
        <v>F</v>
      </c>
      <c r="J58" s="8" t="str">
        <f t="shared" si="3"/>
        <v xml:space="preserve"> </v>
      </c>
      <c r="K58" s="9" t="str">
        <f t="shared" si="4"/>
        <v>Fail in Th. &amp; Pr.</v>
      </c>
      <c r="L58" s="18"/>
      <c r="M58" s="19"/>
      <c r="N58" s="14"/>
      <c r="O58" s="1"/>
      <c r="P58" s="1"/>
      <c r="Q58" s="1"/>
      <c r="R58" s="1"/>
      <c r="S58" s="1"/>
      <c r="T58" s="1"/>
      <c r="U58" s="21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s="7" customFormat="1" ht="18" customHeight="1">
      <c r="A59" s="12">
        <v>52</v>
      </c>
      <c r="B59" s="23"/>
      <c r="C59" s="13"/>
      <c r="D59" s="46"/>
      <c r="E59" s="23"/>
      <c r="F59" s="23"/>
      <c r="G59" s="5" t="str">
        <f t="shared" si="0"/>
        <v>Zero</v>
      </c>
      <c r="H59" s="6">
        <f t="shared" si="5"/>
        <v>0</v>
      </c>
      <c r="I59" s="6" t="str">
        <f t="shared" si="2"/>
        <v>F</v>
      </c>
      <c r="J59" s="8" t="str">
        <f t="shared" si="3"/>
        <v xml:space="preserve"> </v>
      </c>
      <c r="K59" s="9" t="str">
        <f t="shared" si="4"/>
        <v>Fail in Th. &amp; Pr.</v>
      </c>
      <c r="L59" s="18"/>
      <c r="M59" s="19"/>
      <c r="N59" s="14"/>
      <c r="O59" s="1"/>
      <c r="P59" s="1"/>
      <c r="Q59" s="1"/>
      <c r="R59" s="1"/>
      <c r="S59" s="1"/>
      <c r="T59" s="1"/>
      <c r="U59" s="21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s="7" customFormat="1" ht="18" customHeight="1">
      <c r="A60" s="12">
        <v>53</v>
      </c>
      <c r="B60" s="23"/>
      <c r="C60" s="13"/>
      <c r="D60" s="46"/>
      <c r="E60" s="23"/>
      <c r="F60" s="23"/>
      <c r="G60" s="5" t="str">
        <f t="shared" si="0"/>
        <v>Zero</v>
      </c>
      <c r="H60" s="6">
        <f t="shared" si="5"/>
        <v>0</v>
      </c>
      <c r="I60" s="6" t="str">
        <f t="shared" si="2"/>
        <v>F</v>
      </c>
      <c r="J60" s="8" t="str">
        <f t="shared" si="3"/>
        <v xml:space="preserve"> </v>
      </c>
      <c r="K60" s="9" t="str">
        <f t="shared" si="4"/>
        <v>Fail in Th. &amp; Pr.</v>
      </c>
      <c r="L60" s="18"/>
      <c r="M60" s="19"/>
      <c r="N60" s="14"/>
      <c r="O60" s="1"/>
      <c r="P60" s="1"/>
      <c r="Q60" s="1"/>
      <c r="R60" s="1"/>
      <c r="S60" s="1"/>
      <c r="T60" s="1"/>
      <c r="U60" s="21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s="7" customFormat="1" ht="18" customHeight="1">
      <c r="A61" s="12">
        <v>54</v>
      </c>
      <c r="B61" s="23"/>
      <c r="C61" s="13"/>
      <c r="D61" s="46"/>
      <c r="E61" s="23"/>
      <c r="F61" s="23"/>
      <c r="G61" s="5" t="str">
        <f t="shared" si="0"/>
        <v>Zero</v>
      </c>
      <c r="H61" s="6">
        <f t="shared" si="5"/>
        <v>0</v>
      </c>
      <c r="I61" s="6" t="str">
        <f t="shared" si="2"/>
        <v>F</v>
      </c>
      <c r="J61" s="8" t="str">
        <f t="shared" si="3"/>
        <v xml:space="preserve"> </v>
      </c>
      <c r="K61" s="9" t="str">
        <f t="shared" si="4"/>
        <v>Fail in Th. &amp; Pr.</v>
      </c>
      <c r="L61" s="18"/>
      <c r="M61" s="19"/>
      <c r="N61" s="14"/>
      <c r="O61" s="1"/>
      <c r="P61" s="1"/>
      <c r="Q61" s="1"/>
      <c r="R61" s="1"/>
      <c r="S61" s="1"/>
      <c r="T61" s="1"/>
      <c r="U61" s="21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s="7" customFormat="1" ht="18" customHeight="1">
      <c r="A62" s="12">
        <v>55</v>
      </c>
      <c r="B62" s="23"/>
      <c r="C62" s="13"/>
      <c r="D62" s="46"/>
      <c r="E62" s="23"/>
      <c r="F62" s="23"/>
      <c r="G62" s="5" t="str">
        <f t="shared" si="0"/>
        <v>Zero</v>
      </c>
      <c r="H62" s="6">
        <f t="shared" si="5"/>
        <v>0</v>
      </c>
      <c r="I62" s="6" t="str">
        <f t="shared" si="2"/>
        <v>F</v>
      </c>
      <c r="J62" s="8" t="str">
        <f t="shared" si="3"/>
        <v xml:space="preserve"> </v>
      </c>
      <c r="K62" s="9" t="str">
        <f t="shared" si="4"/>
        <v>Fail in Th. &amp; Pr.</v>
      </c>
      <c r="L62" s="18"/>
      <c r="M62" s="19"/>
      <c r="N62" s="14"/>
      <c r="O62" s="1"/>
      <c r="P62" s="1"/>
      <c r="Q62" s="1"/>
      <c r="R62" s="1"/>
      <c r="S62" s="1"/>
      <c r="T62" s="1"/>
      <c r="U62" s="21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s="7" customFormat="1" ht="18" customHeight="1">
      <c r="A63" s="12">
        <v>56</v>
      </c>
      <c r="B63" s="23"/>
      <c r="C63" s="40"/>
      <c r="D63" s="46"/>
      <c r="E63" s="41"/>
      <c r="F63" s="41"/>
      <c r="G63" s="42" t="str">
        <f t="shared" si="0"/>
        <v>Zero</v>
      </c>
      <c r="H63" s="43">
        <f t="shared" si="5"/>
        <v>0</v>
      </c>
      <c r="I63" s="43" t="str">
        <f t="shared" si="2"/>
        <v>F</v>
      </c>
      <c r="J63" s="44" t="str">
        <f t="shared" si="3"/>
        <v xml:space="preserve"> </v>
      </c>
      <c r="K63" s="45" t="str">
        <f t="shared" si="4"/>
        <v>Fail in Th. &amp; Pr.</v>
      </c>
      <c r="L63" s="18"/>
      <c r="M63" s="19"/>
      <c r="N63" s="14"/>
      <c r="O63" s="1"/>
      <c r="P63" s="1"/>
      <c r="Q63" s="1"/>
      <c r="R63" s="1"/>
      <c r="S63" s="1"/>
      <c r="T63" s="1"/>
      <c r="U63" s="21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ht="15.75">
      <c r="A64" s="12">
        <v>57</v>
      </c>
      <c r="B64" s="23"/>
      <c r="C64" s="10"/>
      <c r="D64" s="46"/>
      <c r="E64" s="41"/>
      <c r="F64" s="41"/>
      <c r="G64" s="42" t="str">
        <f t="shared" si="0"/>
        <v>Zero</v>
      </c>
      <c r="H64" s="43">
        <f t="shared" ref="H64:H88" si="6">SUM(E64:F64)</f>
        <v>0</v>
      </c>
      <c r="I64" s="43" t="str">
        <f t="shared" si="2"/>
        <v>F</v>
      </c>
      <c r="J64" s="44" t="str">
        <f t="shared" si="3"/>
        <v xml:space="preserve"> </v>
      </c>
      <c r="K64" s="45" t="str">
        <f t="shared" si="4"/>
        <v>Fail in Th. &amp; Pr.</v>
      </c>
    </row>
    <row r="65" spans="1:41" ht="15.75">
      <c r="A65" s="12">
        <v>58</v>
      </c>
      <c r="B65" s="23"/>
      <c r="C65" s="10"/>
      <c r="D65" s="46"/>
      <c r="E65" s="41"/>
      <c r="F65" s="41"/>
      <c r="G65" s="42" t="str">
        <f t="shared" si="0"/>
        <v>Zero</v>
      </c>
      <c r="H65" s="43">
        <f t="shared" si="6"/>
        <v>0</v>
      </c>
      <c r="I65" s="43" t="str">
        <f t="shared" si="2"/>
        <v>F</v>
      </c>
      <c r="J65" s="44" t="str">
        <f t="shared" si="3"/>
        <v xml:space="preserve"> </v>
      </c>
      <c r="K65" s="45" t="str">
        <f t="shared" si="4"/>
        <v>Fail in Th. &amp; Pr.</v>
      </c>
    </row>
    <row r="66" spans="1:41" ht="15.75">
      <c r="A66" s="12">
        <v>59</v>
      </c>
      <c r="B66" s="23"/>
      <c r="C66" s="10"/>
      <c r="D66" s="46"/>
      <c r="E66" s="41"/>
      <c r="F66" s="41"/>
      <c r="G66" s="42" t="str">
        <f t="shared" si="0"/>
        <v>Zero</v>
      </c>
      <c r="H66" s="43">
        <f t="shared" si="6"/>
        <v>0</v>
      </c>
      <c r="I66" s="43" t="str">
        <f t="shared" si="2"/>
        <v>F</v>
      </c>
      <c r="J66" s="44" t="str">
        <f t="shared" si="3"/>
        <v xml:space="preserve"> </v>
      </c>
      <c r="K66" s="45" t="str">
        <f t="shared" si="4"/>
        <v>Fail in Th. &amp; Pr.</v>
      </c>
    </row>
    <row r="67" spans="1:41" ht="15.75">
      <c r="A67" s="12">
        <v>60</v>
      </c>
      <c r="B67" s="23"/>
      <c r="C67" s="10"/>
      <c r="D67" s="46"/>
      <c r="E67" s="41"/>
      <c r="F67" s="41"/>
      <c r="G67" s="42" t="str">
        <f t="shared" si="0"/>
        <v>Zero</v>
      </c>
      <c r="H67" s="43">
        <f t="shared" si="6"/>
        <v>0</v>
      </c>
      <c r="I67" s="43" t="str">
        <f t="shared" si="2"/>
        <v>F</v>
      </c>
      <c r="J67" s="44" t="str">
        <f t="shared" si="3"/>
        <v xml:space="preserve"> </v>
      </c>
      <c r="K67" s="45" t="str">
        <f t="shared" si="4"/>
        <v>Fail in Th. &amp; Pr.</v>
      </c>
    </row>
    <row r="68" spans="1:41" ht="15.75">
      <c r="A68" s="12">
        <v>61</v>
      </c>
      <c r="B68" s="23"/>
      <c r="C68" s="10"/>
      <c r="D68" s="46"/>
      <c r="E68" s="41"/>
      <c r="F68" s="41"/>
      <c r="G68" s="42" t="str">
        <f t="shared" si="0"/>
        <v>Zero</v>
      </c>
      <c r="H68" s="43">
        <f t="shared" si="6"/>
        <v>0</v>
      </c>
      <c r="I68" s="43" t="str">
        <f t="shared" si="2"/>
        <v>F</v>
      </c>
      <c r="J68" s="44" t="str">
        <f t="shared" si="3"/>
        <v xml:space="preserve"> </v>
      </c>
      <c r="K68" s="45" t="str">
        <f t="shared" si="4"/>
        <v>Fail in Th. &amp; Pr.</v>
      </c>
    </row>
    <row r="69" spans="1:41" ht="15.75">
      <c r="A69" s="12">
        <v>62</v>
      </c>
      <c r="B69" s="23"/>
      <c r="C69" s="10"/>
      <c r="D69" s="46"/>
      <c r="E69" s="41"/>
      <c r="F69" s="41"/>
      <c r="G69" s="42" t="str">
        <f t="shared" si="0"/>
        <v>Zero</v>
      </c>
      <c r="H69" s="43">
        <f t="shared" si="6"/>
        <v>0</v>
      </c>
      <c r="I69" s="43" t="str">
        <f t="shared" si="2"/>
        <v>F</v>
      </c>
      <c r="J69" s="44" t="str">
        <f t="shared" si="3"/>
        <v xml:space="preserve"> </v>
      </c>
      <c r="K69" s="45" t="str">
        <f t="shared" si="4"/>
        <v>Fail in Th. &amp; Pr.</v>
      </c>
    </row>
    <row r="70" spans="1:41" ht="15.75">
      <c r="A70" s="12">
        <v>63</v>
      </c>
      <c r="B70" s="23"/>
      <c r="C70" s="10"/>
      <c r="D70" s="46"/>
      <c r="E70" s="41"/>
      <c r="F70" s="41"/>
      <c r="G70" s="42" t="str">
        <f t="shared" si="0"/>
        <v>Zero</v>
      </c>
      <c r="H70" s="43">
        <f t="shared" si="6"/>
        <v>0</v>
      </c>
      <c r="I70" s="43" t="str">
        <f t="shared" si="2"/>
        <v>F</v>
      </c>
      <c r="J70" s="44" t="str">
        <f t="shared" si="3"/>
        <v xml:space="preserve"> </v>
      </c>
      <c r="K70" s="45" t="str">
        <f t="shared" si="4"/>
        <v>Fail in Th. &amp; Pr.</v>
      </c>
    </row>
    <row r="71" spans="1:41" ht="15.75">
      <c r="A71" s="12">
        <v>64</v>
      </c>
      <c r="B71" s="23"/>
      <c r="C71" s="10"/>
      <c r="D71" s="46"/>
      <c r="E71" s="41"/>
      <c r="F71" s="41"/>
      <c r="G71" s="42" t="str">
        <f t="shared" si="0"/>
        <v>Zero</v>
      </c>
      <c r="H71" s="43">
        <f t="shared" si="6"/>
        <v>0</v>
      </c>
      <c r="I71" s="43" t="str">
        <f t="shared" si="2"/>
        <v>F</v>
      </c>
      <c r="J71" s="44" t="str">
        <f t="shared" si="3"/>
        <v xml:space="preserve"> </v>
      </c>
      <c r="K71" s="45" t="str">
        <f t="shared" si="4"/>
        <v>Fail in Th. &amp; Pr.</v>
      </c>
    </row>
    <row r="72" spans="1:41" ht="15.75">
      <c r="A72" s="12">
        <v>65</v>
      </c>
      <c r="B72" s="23"/>
      <c r="C72" s="10"/>
      <c r="D72" s="46"/>
      <c r="E72" s="41"/>
      <c r="F72" s="41"/>
      <c r="G72" s="42" t="str">
        <f t="shared" ref="G72:G91" si="7">VLOOKUP(H72,$B$151:$C$252,2,TRUE)</f>
        <v>Zero</v>
      </c>
      <c r="H72" s="43">
        <f t="shared" si="6"/>
        <v>0</v>
      </c>
      <c r="I72" s="43" t="str">
        <f t="shared" ref="I72:I91" si="8">VLOOKUP(H72,$F$151:$G$252,2,TRUE)</f>
        <v>F</v>
      </c>
      <c r="J72" s="44" t="str">
        <f t="shared" ref="J72:J91" si="9">IF(H72&gt;=90,"+",IF(H72&gt;=84,"-",IF(H72&gt;=75,"+",IF(H72&gt;=68,"-",IF(H72&gt;=64,"+",IF(H72&gt;=57,"-",IF(H72&gt;=53,"+"," ")))))))</f>
        <v xml:space="preserve"> </v>
      </c>
      <c r="K72" s="45" t="str">
        <f t="shared" ref="K72:K91" si="10">IF(AND(E72&lt;40,F72&lt;10),"Fail in Th. &amp; Pr.", IF(E72&lt;40,"Fail in Theory",IF(F72&lt;10,"Fail in Pract.", "Passes")))</f>
        <v>Fail in Th. &amp; Pr.</v>
      </c>
    </row>
    <row r="73" spans="1:41" ht="15.75">
      <c r="A73" s="12">
        <v>66</v>
      </c>
      <c r="B73" s="23"/>
      <c r="C73" s="10"/>
      <c r="D73" s="46"/>
      <c r="E73" s="41"/>
      <c r="F73" s="41"/>
      <c r="G73" s="42" t="str">
        <f t="shared" si="7"/>
        <v>Zero</v>
      </c>
      <c r="H73" s="43">
        <f t="shared" si="6"/>
        <v>0</v>
      </c>
      <c r="I73" s="43" t="str">
        <f t="shared" si="8"/>
        <v>F</v>
      </c>
      <c r="J73" s="44" t="str">
        <f t="shared" si="9"/>
        <v xml:space="preserve"> </v>
      </c>
      <c r="K73" s="45" t="str">
        <f t="shared" si="10"/>
        <v>Fail in Th. &amp; Pr.</v>
      </c>
    </row>
    <row r="74" spans="1:41" ht="15.75">
      <c r="A74" s="12">
        <v>67</v>
      </c>
      <c r="B74" s="23"/>
      <c r="C74" s="10"/>
      <c r="D74" s="46"/>
      <c r="E74" s="41"/>
      <c r="F74" s="41"/>
      <c r="G74" s="42" t="str">
        <f t="shared" si="7"/>
        <v>Zero</v>
      </c>
      <c r="H74" s="43">
        <f t="shared" si="6"/>
        <v>0</v>
      </c>
      <c r="I74" s="43" t="str">
        <f t="shared" si="8"/>
        <v>F</v>
      </c>
      <c r="J74" s="44" t="str">
        <f t="shared" si="9"/>
        <v xml:space="preserve"> </v>
      </c>
      <c r="K74" s="45" t="str">
        <f t="shared" si="10"/>
        <v>Fail in Th. &amp; Pr.</v>
      </c>
    </row>
    <row r="75" spans="1:41" ht="15.75">
      <c r="A75" s="12">
        <v>68</v>
      </c>
      <c r="B75" s="23"/>
      <c r="C75" s="10"/>
      <c r="D75" s="46"/>
      <c r="E75" s="41"/>
      <c r="F75" s="41"/>
      <c r="G75" s="42" t="str">
        <f t="shared" si="7"/>
        <v>Zero</v>
      </c>
      <c r="H75" s="43">
        <f t="shared" si="6"/>
        <v>0</v>
      </c>
      <c r="I75" s="43" t="str">
        <f t="shared" si="8"/>
        <v>F</v>
      </c>
      <c r="J75" s="44" t="str">
        <f t="shared" si="9"/>
        <v xml:space="preserve"> </v>
      </c>
      <c r="K75" s="45" t="str">
        <f t="shared" si="10"/>
        <v>Fail in Th. &amp; Pr.</v>
      </c>
      <c r="M75" s="15"/>
      <c r="N75" s="1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>
      <c r="A76" s="12">
        <v>69</v>
      </c>
      <c r="B76" s="23"/>
      <c r="C76" s="10"/>
      <c r="D76" s="46"/>
      <c r="E76" s="41"/>
      <c r="F76" s="41"/>
      <c r="G76" s="42" t="str">
        <f t="shared" si="7"/>
        <v>Zero</v>
      </c>
      <c r="H76" s="43">
        <f t="shared" si="6"/>
        <v>0</v>
      </c>
      <c r="I76" s="43" t="str">
        <f t="shared" si="8"/>
        <v>F</v>
      </c>
      <c r="J76" s="44" t="str">
        <f t="shared" si="9"/>
        <v xml:space="preserve"> </v>
      </c>
      <c r="K76" s="45" t="str">
        <f t="shared" si="10"/>
        <v>Fail in Th. &amp; Pr.</v>
      </c>
      <c r="M76" s="15"/>
      <c r="N76" s="1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>
      <c r="A77" s="12">
        <v>70</v>
      </c>
      <c r="B77" s="23"/>
      <c r="C77" s="10"/>
      <c r="D77" s="46"/>
      <c r="E77" s="41"/>
      <c r="F77" s="41"/>
      <c r="G77" s="42" t="str">
        <f t="shared" si="7"/>
        <v>Zero</v>
      </c>
      <c r="H77" s="43">
        <f t="shared" si="6"/>
        <v>0</v>
      </c>
      <c r="I77" s="43" t="str">
        <f t="shared" si="8"/>
        <v>F</v>
      </c>
      <c r="J77" s="44" t="str">
        <f t="shared" si="9"/>
        <v xml:space="preserve"> </v>
      </c>
      <c r="K77" s="45" t="str">
        <f t="shared" si="10"/>
        <v>Fail in Th. &amp; Pr.</v>
      </c>
      <c r="M77" s="15"/>
      <c r="N77" s="1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>
      <c r="A78" s="12">
        <v>71</v>
      </c>
      <c r="B78" s="23"/>
      <c r="C78" s="10"/>
      <c r="D78" s="46"/>
      <c r="E78" s="41"/>
      <c r="F78" s="41"/>
      <c r="G78" s="42" t="str">
        <f t="shared" si="7"/>
        <v>Zero</v>
      </c>
      <c r="H78" s="43">
        <f t="shared" si="6"/>
        <v>0</v>
      </c>
      <c r="I78" s="43" t="str">
        <f t="shared" si="8"/>
        <v>F</v>
      </c>
      <c r="J78" s="44" t="str">
        <f t="shared" si="9"/>
        <v xml:space="preserve"> </v>
      </c>
      <c r="K78" s="45" t="str">
        <f t="shared" si="10"/>
        <v>Fail in Th. &amp; Pr.</v>
      </c>
      <c r="M78" s="15"/>
      <c r="N78" s="1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>
      <c r="A79" s="12">
        <v>72</v>
      </c>
      <c r="B79" s="23"/>
      <c r="C79" s="10"/>
      <c r="D79" s="46"/>
      <c r="E79" s="41"/>
      <c r="F79" s="41"/>
      <c r="G79" s="42" t="str">
        <f t="shared" si="7"/>
        <v>Zero</v>
      </c>
      <c r="H79" s="43">
        <f t="shared" si="6"/>
        <v>0</v>
      </c>
      <c r="I79" s="43" t="str">
        <f t="shared" si="8"/>
        <v>F</v>
      </c>
      <c r="J79" s="44" t="str">
        <f t="shared" si="9"/>
        <v xml:space="preserve"> </v>
      </c>
      <c r="K79" s="45" t="str">
        <f t="shared" si="10"/>
        <v>Fail in Th. &amp; Pr.</v>
      </c>
      <c r="M79" s="15"/>
      <c r="N79" s="1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>
      <c r="A80" s="12">
        <v>73</v>
      </c>
      <c r="B80" s="23"/>
      <c r="C80" s="10"/>
      <c r="D80" s="46"/>
      <c r="E80" s="41"/>
      <c r="F80" s="41"/>
      <c r="G80" s="42" t="str">
        <f t="shared" si="7"/>
        <v>Zero</v>
      </c>
      <c r="H80" s="43">
        <f t="shared" si="6"/>
        <v>0</v>
      </c>
      <c r="I80" s="43" t="str">
        <f t="shared" si="8"/>
        <v>F</v>
      </c>
      <c r="J80" s="44" t="str">
        <f t="shared" si="9"/>
        <v xml:space="preserve"> </v>
      </c>
      <c r="K80" s="45" t="str">
        <f t="shared" si="10"/>
        <v>Fail in Th. &amp; Pr.</v>
      </c>
      <c r="M80" s="15"/>
      <c r="N80" s="1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>
      <c r="A81" s="12">
        <v>74</v>
      </c>
      <c r="B81" s="23"/>
      <c r="C81" s="10"/>
      <c r="D81" s="46"/>
      <c r="E81" s="41"/>
      <c r="F81" s="41"/>
      <c r="G81" s="42" t="str">
        <f t="shared" si="7"/>
        <v>Zero</v>
      </c>
      <c r="H81" s="43">
        <f t="shared" si="6"/>
        <v>0</v>
      </c>
      <c r="I81" s="43" t="str">
        <f t="shared" si="8"/>
        <v>F</v>
      </c>
      <c r="J81" s="44" t="str">
        <f t="shared" si="9"/>
        <v xml:space="preserve"> </v>
      </c>
      <c r="K81" s="45" t="str">
        <f t="shared" si="10"/>
        <v>Fail in Th. &amp; Pr.</v>
      </c>
      <c r="M81" s="15"/>
      <c r="N81" s="1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>
      <c r="A82" s="12">
        <v>75</v>
      </c>
      <c r="B82" s="23"/>
      <c r="C82" s="10"/>
      <c r="D82" s="46"/>
      <c r="E82" s="41"/>
      <c r="F82" s="41"/>
      <c r="G82" s="42" t="str">
        <f t="shared" si="7"/>
        <v>Zero</v>
      </c>
      <c r="H82" s="43">
        <f t="shared" si="6"/>
        <v>0</v>
      </c>
      <c r="I82" s="43" t="str">
        <f t="shared" si="8"/>
        <v>F</v>
      </c>
      <c r="J82" s="44" t="str">
        <f t="shared" si="9"/>
        <v xml:space="preserve"> </v>
      </c>
      <c r="K82" s="45" t="str">
        <f t="shared" si="10"/>
        <v>Fail in Th. &amp; Pr.</v>
      </c>
      <c r="M82" s="15"/>
      <c r="N82" s="1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>
      <c r="A83" s="12">
        <v>76</v>
      </c>
      <c r="B83" s="23"/>
      <c r="C83" s="10"/>
      <c r="D83" s="46"/>
      <c r="E83" s="41"/>
      <c r="F83" s="41"/>
      <c r="G83" s="42" t="str">
        <f t="shared" si="7"/>
        <v>Zero</v>
      </c>
      <c r="H83" s="43">
        <f t="shared" si="6"/>
        <v>0</v>
      </c>
      <c r="I83" s="43" t="str">
        <f t="shared" si="8"/>
        <v>F</v>
      </c>
      <c r="J83" s="44" t="str">
        <f t="shared" si="9"/>
        <v xml:space="preserve"> </v>
      </c>
      <c r="K83" s="45" t="str">
        <f t="shared" si="10"/>
        <v>Fail in Th. &amp; Pr.</v>
      </c>
      <c r="M83" s="15"/>
      <c r="N83" s="1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>
      <c r="A84" s="12">
        <v>77</v>
      </c>
      <c r="B84" s="23"/>
      <c r="C84" s="10"/>
      <c r="D84" s="46"/>
      <c r="E84" s="41"/>
      <c r="F84" s="41"/>
      <c r="G84" s="42" t="str">
        <f t="shared" si="7"/>
        <v>Zero</v>
      </c>
      <c r="H84" s="43">
        <f t="shared" si="6"/>
        <v>0</v>
      </c>
      <c r="I84" s="43" t="str">
        <f t="shared" si="8"/>
        <v>F</v>
      </c>
      <c r="J84" s="44" t="str">
        <f t="shared" si="9"/>
        <v xml:space="preserve"> </v>
      </c>
      <c r="K84" s="45" t="str">
        <f t="shared" si="10"/>
        <v>Fail in Th. &amp; Pr.</v>
      </c>
      <c r="M84" s="15"/>
      <c r="N84" s="1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>
      <c r="A85" s="12">
        <v>78</v>
      </c>
      <c r="B85" s="23"/>
      <c r="C85" s="10"/>
      <c r="D85" s="46"/>
      <c r="E85" s="41"/>
      <c r="F85" s="41"/>
      <c r="G85" s="42" t="str">
        <f t="shared" si="7"/>
        <v>Zero</v>
      </c>
      <c r="H85" s="43">
        <f t="shared" si="6"/>
        <v>0</v>
      </c>
      <c r="I85" s="43" t="str">
        <f t="shared" si="8"/>
        <v>F</v>
      </c>
      <c r="J85" s="44" t="str">
        <f t="shared" si="9"/>
        <v xml:space="preserve"> </v>
      </c>
      <c r="K85" s="45" t="str">
        <f t="shared" si="10"/>
        <v>Fail in Th. &amp; Pr.</v>
      </c>
      <c r="M85" s="15"/>
      <c r="N85" s="1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>
      <c r="A86" s="12">
        <v>79</v>
      </c>
      <c r="B86" s="23"/>
      <c r="C86" s="10"/>
      <c r="D86" s="46"/>
      <c r="E86" s="41"/>
      <c r="F86" s="41"/>
      <c r="G86" s="42" t="str">
        <f t="shared" si="7"/>
        <v>Zero</v>
      </c>
      <c r="H86" s="43">
        <f t="shared" si="6"/>
        <v>0</v>
      </c>
      <c r="I86" s="43" t="str">
        <f t="shared" si="8"/>
        <v>F</v>
      </c>
      <c r="J86" s="44" t="str">
        <f t="shared" si="9"/>
        <v xml:space="preserve"> </v>
      </c>
      <c r="K86" s="45" t="str">
        <f t="shared" si="10"/>
        <v>Fail in Th. &amp; Pr.</v>
      </c>
      <c r="M86" s="15"/>
      <c r="N86" s="1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>
      <c r="A87" s="12">
        <v>80</v>
      </c>
      <c r="B87" s="23"/>
      <c r="C87" s="10"/>
      <c r="D87" s="46"/>
      <c r="E87" s="41"/>
      <c r="F87" s="41"/>
      <c r="G87" s="42" t="str">
        <f t="shared" si="7"/>
        <v>Zero</v>
      </c>
      <c r="H87" s="43">
        <f t="shared" si="6"/>
        <v>0</v>
      </c>
      <c r="I87" s="43" t="str">
        <f t="shared" si="8"/>
        <v>F</v>
      </c>
      <c r="J87" s="44" t="str">
        <f t="shared" si="9"/>
        <v xml:space="preserve"> </v>
      </c>
      <c r="K87" s="45" t="str">
        <f t="shared" si="10"/>
        <v>Fail in Th. &amp; Pr.</v>
      </c>
      <c r="M87" s="15"/>
      <c r="N87" s="1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>
      <c r="A88" s="12">
        <v>81</v>
      </c>
      <c r="B88" s="23"/>
      <c r="C88" s="10"/>
      <c r="D88" s="46"/>
      <c r="E88" s="23"/>
      <c r="F88" s="23"/>
      <c r="G88" s="5" t="str">
        <f t="shared" si="7"/>
        <v>Zero</v>
      </c>
      <c r="H88" s="6">
        <f t="shared" si="6"/>
        <v>0</v>
      </c>
      <c r="I88" s="6" t="str">
        <f t="shared" si="8"/>
        <v>F</v>
      </c>
      <c r="J88" s="8" t="str">
        <f t="shared" si="9"/>
        <v xml:space="preserve"> </v>
      </c>
      <c r="K88" s="9" t="str">
        <f t="shared" si="10"/>
        <v>Fail in Th. &amp; Pr.</v>
      </c>
      <c r="M88" s="15"/>
      <c r="N88" s="1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>
      <c r="A89" s="12">
        <v>84</v>
      </c>
      <c r="B89" s="23"/>
      <c r="C89" s="10"/>
      <c r="D89" s="39"/>
      <c r="E89" s="23"/>
      <c r="F89" s="23"/>
      <c r="G89" s="5" t="str">
        <f t="shared" si="7"/>
        <v>Zero</v>
      </c>
      <c r="H89" s="6">
        <f t="shared" ref="H89:H91" si="11">SUM(E89:F89)</f>
        <v>0</v>
      </c>
      <c r="I89" s="6" t="str">
        <f t="shared" si="8"/>
        <v>F</v>
      </c>
      <c r="J89" s="8" t="str">
        <f t="shared" si="9"/>
        <v xml:space="preserve"> </v>
      </c>
      <c r="K89" s="9" t="str">
        <f t="shared" si="10"/>
        <v>Fail in Th. &amp; Pr.</v>
      </c>
      <c r="M89" s="15"/>
      <c r="N89" s="1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>
      <c r="A90" s="12">
        <v>85</v>
      </c>
      <c r="B90" s="38"/>
      <c r="C90" s="10"/>
      <c r="D90" s="39"/>
      <c r="E90" s="23"/>
      <c r="F90" s="23"/>
      <c r="G90" s="5" t="str">
        <f t="shared" si="7"/>
        <v>Zero</v>
      </c>
      <c r="H90" s="6">
        <f t="shared" si="11"/>
        <v>0</v>
      </c>
      <c r="I90" s="6" t="str">
        <f t="shared" si="8"/>
        <v>F</v>
      </c>
      <c r="J90" s="8" t="str">
        <f t="shared" si="9"/>
        <v xml:space="preserve"> </v>
      </c>
      <c r="K90" s="9" t="str">
        <f t="shared" si="10"/>
        <v>Fail in Th. &amp; Pr.</v>
      </c>
      <c r="M90" s="15"/>
      <c r="N90" s="1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>
      <c r="A91" s="12">
        <v>86</v>
      </c>
      <c r="B91" s="38"/>
      <c r="C91" s="10"/>
      <c r="D91" s="39"/>
      <c r="E91" s="23"/>
      <c r="F91" s="23"/>
      <c r="G91" s="5" t="str">
        <f t="shared" si="7"/>
        <v>Zero</v>
      </c>
      <c r="H91" s="6">
        <f t="shared" si="11"/>
        <v>0</v>
      </c>
      <c r="I91" s="6" t="str">
        <f t="shared" si="8"/>
        <v>F</v>
      </c>
      <c r="J91" s="8" t="str">
        <f t="shared" si="9"/>
        <v xml:space="preserve"> </v>
      </c>
      <c r="K91" s="9" t="str">
        <f t="shared" si="10"/>
        <v>Fail in Th. &amp; Pr.</v>
      </c>
      <c r="M91" s="15"/>
      <c r="N91" s="1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>
      <c r="A92" s="12"/>
      <c r="B92" s="38"/>
      <c r="C92" s="10"/>
      <c r="D92" s="39"/>
      <c r="E92" s="23"/>
      <c r="F92" s="23"/>
      <c r="G92" s="5"/>
      <c r="H92" s="6"/>
      <c r="I92" s="6"/>
      <c r="J92" s="8"/>
      <c r="K92" s="9"/>
      <c r="M92" s="15"/>
      <c r="N92" s="1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>
      <c r="A93" s="12"/>
      <c r="B93" s="38"/>
      <c r="C93" s="10"/>
      <c r="D93" s="39"/>
      <c r="E93" s="23"/>
      <c r="F93" s="23"/>
      <c r="G93" s="5" t="str">
        <f t="shared" ref="G93:G95" si="12">VLOOKUP(H93,$B$151:$C$252,2,TRUE)</f>
        <v>Zero</v>
      </c>
      <c r="H93" s="6">
        <f t="shared" ref="H93:H95" si="13">SUM(E93:F93)</f>
        <v>0</v>
      </c>
      <c r="I93" s="6" t="str">
        <f t="shared" ref="I93:I95" si="14">VLOOKUP(H93,$F$151:$G$252,2,TRUE)</f>
        <v>F</v>
      </c>
      <c r="J93" s="8" t="str">
        <f t="shared" ref="J93:J95" si="15">IF(H93&gt;=90,"+",IF(H93&gt;=84,"-",IF(H93&gt;=75,"+",IF(H93&gt;=68,"-",IF(H93&gt;=64,"+",IF(H93&gt;=57,"-",IF(H93&gt;=53,"+"," ")))))))</f>
        <v xml:space="preserve"> </v>
      </c>
      <c r="K93" s="9" t="str">
        <f t="shared" ref="K93:K95" si="16">IF(AND(E93&lt;40,F93&lt;10),"Fail in Th. &amp; Pr.", IF(E93&lt;40,"Fail in Theory",IF(F93&lt;10,"Fail in Pract.", "Passes")))</f>
        <v>Fail in Th. &amp; Pr.</v>
      </c>
      <c r="M93" s="15"/>
      <c r="N93" s="1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>
      <c r="A94" s="12"/>
      <c r="B94" s="38"/>
      <c r="C94" s="10"/>
      <c r="D94" s="39"/>
      <c r="E94" s="23"/>
      <c r="F94" s="23"/>
      <c r="G94" s="5" t="str">
        <f t="shared" si="12"/>
        <v>Zero</v>
      </c>
      <c r="H94" s="6">
        <f t="shared" si="13"/>
        <v>0</v>
      </c>
      <c r="I94" s="6" t="str">
        <f t="shared" si="14"/>
        <v>F</v>
      </c>
      <c r="J94" s="8" t="str">
        <f t="shared" si="15"/>
        <v xml:space="preserve"> </v>
      </c>
      <c r="K94" s="9" t="str">
        <f t="shared" si="16"/>
        <v>Fail in Th. &amp; Pr.</v>
      </c>
      <c r="M94" s="15"/>
      <c r="N94" s="1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>
      <c r="A95" s="12"/>
      <c r="B95" s="38"/>
      <c r="C95" s="10"/>
      <c r="D95" s="39"/>
      <c r="E95" s="23"/>
      <c r="F95" s="23"/>
      <c r="G95" s="5" t="str">
        <f t="shared" si="12"/>
        <v>Zero</v>
      </c>
      <c r="H95" s="6">
        <f t="shared" si="13"/>
        <v>0</v>
      </c>
      <c r="I95" s="6" t="str">
        <f t="shared" si="14"/>
        <v>F</v>
      </c>
      <c r="J95" s="8" t="str">
        <f t="shared" si="15"/>
        <v xml:space="preserve"> </v>
      </c>
      <c r="K95" s="9" t="str">
        <f t="shared" si="16"/>
        <v>Fail in Th. &amp; Pr.</v>
      </c>
      <c r="M95" s="15"/>
      <c r="N95" s="1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M96" s="15"/>
      <c r="N96" s="1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M97" s="15"/>
      <c r="N97" s="1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M98" s="15"/>
      <c r="N98" s="1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M99" s="15"/>
      <c r="N99" s="1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M100" s="15"/>
      <c r="N100" s="1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M101" s="15"/>
      <c r="N101" s="1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M102" s="15"/>
      <c r="N102" s="1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M103" s="15"/>
      <c r="N103" s="1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M104" s="15"/>
      <c r="N104" s="1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M105" s="15"/>
      <c r="N105" s="1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M106" s="15"/>
      <c r="N106" s="1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M107" s="15"/>
      <c r="N107" s="1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M108" s="15"/>
      <c r="N108" s="1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M109" s="15"/>
      <c r="N109" s="1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M110" s="15"/>
      <c r="N110" s="1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M111" s="15"/>
      <c r="N111" s="1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M112" s="15"/>
      <c r="N112" s="1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M113" s="15"/>
      <c r="N113" s="1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M114" s="15"/>
      <c r="N114" s="1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M115" s="15"/>
      <c r="N115" s="1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M116" s="15"/>
      <c r="N116" s="1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M117" s="15"/>
      <c r="N117" s="1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M118" s="15"/>
      <c r="N118" s="1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M119" s="15"/>
      <c r="N119" s="1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M120" s="15"/>
      <c r="N120" s="1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M121" s="15"/>
      <c r="N121" s="1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51" spans="2:7">
      <c r="B151" s="4" t="s">
        <v>13</v>
      </c>
      <c r="C151" s="4" t="s">
        <v>14</v>
      </c>
      <c r="F151" s="4" t="s">
        <v>13</v>
      </c>
      <c r="G151" s="4" t="s">
        <v>14</v>
      </c>
    </row>
    <row r="152" spans="2:7">
      <c r="B152">
        <v>0</v>
      </c>
      <c r="C152" t="s">
        <v>15</v>
      </c>
      <c r="F152">
        <v>0</v>
      </c>
      <c r="G152" t="s">
        <v>16</v>
      </c>
    </row>
    <row r="153" spans="2:7">
      <c r="B153">
        <v>1</v>
      </c>
      <c r="C153" t="s">
        <v>17</v>
      </c>
      <c r="F153">
        <v>1</v>
      </c>
      <c r="G153" t="s">
        <v>16</v>
      </c>
    </row>
    <row r="154" spans="2:7">
      <c r="B154">
        <v>2</v>
      </c>
      <c r="C154" t="s">
        <v>18</v>
      </c>
      <c r="F154">
        <v>2</v>
      </c>
      <c r="G154" t="s">
        <v>16</v>
      </c>
    </row>
    <row r="155" spans="2:7">
      <c r="B155">
        <v>3</v>
      </c>
      <c r="C155" t="s">
        <v>19</v>
      </c>
      <c r="F155">
        <v>3</v>
      </c>
      <c r="G155" t="s">
        <v>16</v>
      </c>
    </row>
    <row r="156" spans="2:7">
      <c r="B156">
        <v>4</v>
      </c>
      <c r="C156" t="s">
        <v>20</v>
      </c>
      <c r="F156">
        <v>4</v>
      </c>
      <c r="G156" t="s">
        <v>16</v>
      </c>
    </row>
    <row r="157" spans="2:7">
      <c r="B157">
        <v>5</v>
      </c>
      <c r="C157" t="s">
        <v>21</v>
      </c>
      <c r="F157">
        <v>5</v>
      </c>
      <c r="G157" t="s">
        <v>16</v>
      </c>
    </row>
    <row r="158" spans="2:7">
      <c r="B158">
        <v>6</v>
      </c>
      <c r="C158" t="s">
        <v>22</v>
      </c>
      <c r="F158">
        <v>6</v>
      </c>
      <c r="G158" t="s">
        <v>16</v>
      </c>
    </row>
    <row r="159" spans="2:7">
      <c r="B159">
        <v>7</v>
      </c>
      <c r="C159" t="s">
        <v>23</v>
      </c>
      <c r="F159">
        <v>7</v>
      </c>
      <c r="G159" t="s">
        <v>16</v>
      </c>
    </row>
    <row r="160" spans="2:7">
      <c r="B160">
        <v>8</v>
      </c>
      <c r="C160" t="s">
        <v>24</v>
      </c>
      <c r="F160">
        <v>8</v>
      </c>
      <c r="G160" t="s">
        <v>16</v>
      </c>
    </row>
    <row r="161" spans="2:7">
      <c r="B161">
        <v>9</v>
      </c>
      <c r="C161" t="s">
        <v>25</v>
      </c>
      <c r="F161">
        <v>9</v>
      </c>
      <c r="G161" t="s">
        <v>16</v>
      </c>
    </row>
    <row r="162" spans="2:7">
      <c r="B162">
        <v>10</v>
      </c>
      <c r="C162" t="s">
        <v>26</v>
      </c>
      <c r="F162">
        <v>10</v>
      </c>
      <c r="G162" t="s">
        <v>16</v>
      </c>
    </row>
    <row r="163" spans="2:7">
      <c r="B163">
        <v>11</v>
      </c>
      <c r="C163" t="s">
        <v>27</v>
      </c>
      <c r="F163">
        <v>11</v>
      </c>
      <c r="G163" t="s">
        <v>16</v>
      </c>
    </row>
    <row r="164" spans="2:7">
      <c r="B164">
        <v>12</v>
      </c>
      <c r="C164" t="s">
        <v>28</v>
      </c>
      <c r="F164">
        <v>12</v>
      </c>
      <c r="G164" t="s">
        <v>16</v>
      </c>
    </row>
    <row r="165" spans="2:7">
      <c r="B165">
        <v>13</v>
      </c>
      <c r="C165" t="s">
        <v>29</v>
      </c>
      <c r="F165">
        <v>13</v>
      </c>
      <c r="G165" t="s">
        <v>16</v>
      </c>
    </row>
    <row r="166" spans="2:7">
      <c r="B166">
        <v>14</v>
      </c>
      <c r="C166" t="s">
        <v>30</v>
      </c>
      <c r="F166">
        <v>14</v>
      </c>
      <c r="G166" t="s">
        <v>16</v>
      </c>
    </row>
    <row r="167" spans="2:7">
      <c r="B167">
        <v>15</v>
      </c>
      <c r="C167" t="s">
        <v>31</v>
      </c>
      <c r="F167">
        <v>15</v>
      </c>
      <c r="G167" t="s">
        <v>16</v>
      </c>
    </row>
    <row r="168" spans="2:7">
      <c r="B168">
        <v>16</v>
      </c>
      <c r="C168" t="s">
        <v>32</v>
      </c>
      <c r="F168">
        <v>16</v>
      </c>
      <c r="G168" t="s">
        <v>16</v>
      </c>
    </row>
    <row r="169" spans="2:7">
      <c r="B169">
        <v>17</v>
      </c>
      <c r="C169" t="s">
        <v>33</v>
      </c>
      <c r="F169">
        <v>17</v>
      </c>
      <c r="G169" t="s">
        <v>16</v>
      </c>
    </row>
    <row r="170" spans="2:7">
      <c r="B170">
        <v>18</v>
      </c>
      <c r="C170" t="s">
        <v>34</v>
      </c>
      <c r="F170">
        <v>18</v>
      </c>
      <c r="G170" t="s">
        <v>16</v>
      </c>
    </row>
    <row r="171" spans="2:7">
      <c r="B171">
        <v>19</v>
      </c>
      <c r="C171" t="s">
        <v>35</v>
      </c>
      <c r="F171">
        <v>19</v>
      </c>
      <c r="G171" t="s">
        <v>16</v>
      </c>
    </row>
    <row r="172" spans="2:7">
      <c r="B172">
        <v>20</v>
      </c>
      <c r="C172" t="s">
        <v>36</v>
      </c>
      <c r="F172">
        <v>20</v>
      </c>
      <c r="G172" t="s">
        <v>16</v>
      </c>
    </row>
    <row r="173" spans="2:7">
      <c r="B173">
        <v>21</v>
      </c>
      <c r="C173" t="s">
        <v>37</v>
      </c>
      <c r="F173">
        <v>21</v>
      </c>
      <c r="G173" t="s">
        <v>16</v>
      </c>
    </row>
    <row r="174" spans="2:7">
      <c r="B174">
        <v>22</v>
      </c>
      <c r="C174" t="s">
        <v>38</v>
      </c>
      <c r="F174">
        <v>22</v>
      </c>
      <c r="G174" t="s">
        <v>16</v>
      </c>
    </row>
    <row r="175" spans="2:7">
      <c r="B175">
        <v>23</v>
      </c>
      <c r="C175" t="s">
        <v>39</v>
      </c>
      <c r="F175">
        <v>23</v>
      </c>
      <c r="G175" t="s">
        <v>16</v>
      </c>
    </row>
    <row r="176" spans="2:7">
      <c r="B176">
        <v>24</v>
      </c>
      <c r="C176" t="s">
        <v>40</v>
      </c>
      <c r="F176">
        <v>24</v>
      </c>
      <c r="G176" t="s">
        <v>16</v>
      </c>
    </row>
    <row r="177" spans="2:7">
      <c r="B177">
        <v>25</v>
      </c>
      <c r="C177" t="s">
        <v>41</v>
      </c>
      <c r="F177">
        <v>25</v>
      </c>
      <c r="G177" t="s">
        <v>16</v>
      </c>
    </row>
    <row r="178" spans="2:7">
      <c r="B178">
        <v>26</v>
      </c>
      <c r="C178" t="s">
        <v>42</v>
      </c>
      <c r="F178">
        <v>26</v>
      </c>
      <c r="G178" t="s">
        <v>16</v>
      </c>
    </row>
    <row r="179" spans="2:7">
      <c r="B179">
        <v>27</v>
      </c>
      <c r="C179" t="s">
        <v>43</v>
      </c>
      <c r="F179">
        <v>27</v>
      </c>
      <c r="G179" t="s">
        <v>16</v>
      </c>
    </row>
    <row r="180" spans="2:7">
      <c r="B180">
        <v>28</v>
      </c>
      <c r="C180" t="s">
        <v>44</v>
      </c>
      <c r="F180">
        <v>28</v>
      </c>
      <c r="G180" t="s">
        <v>16</v>
      </c>
    </row>
    <row r="181" spans="2:7">
      <c r="B181">
        <v>29</v>
      </c>
      <c r="C181" t="s">
        <v>45</v>
      </c>
      <c r="F181">
        <v>29</v>
      </c>
      <c r="G181" t="s">
        <v>16</v>
      </c>
    </row>
    <row r="182" spans="2:7">
      <c r="B182">
        <v>30</v>
      </c>
      <c r="C182" t="s">
        <v>46</v>
      </c>
      <c r="F182">
        <v>30</v>
      </c>
      <c r="G182" t="s">
        <v>16</v>
      </c>
    </row>
    <row r="183" spans="2:7">
      <c r="B183">
        <v>31</v>
      </c>
      <c r="C183" t="s">
        <v>47</v>
      </c>
      <c r="F183">
        <v>31</v>
      </c>
      <c r="G183" t="s">
        <v>16</v>
      </c>
    </row>
    <row r="184" spans="2:7">
      <c r="B184">
        <v>32</v>
      </c>
      <c r="C184" t="s">
        <v>48</v>
      </c>
      <c r="F184">
        <v>32</v>
      </c>
      <c r="G184" t="s">
        <v>16</v>
      </c>
    </row>
    <row r="185" spans="2:7">
      <c r="B185">
        <v>33</v>
      </c>
      <c r="C185" t="s">
        <v>49</v>
      </c>
      <c r="F185">
        <v>33</v>
      </c>
      <c r="G185" t="s">
        <v>16</v>
      </c>
    </row>
    <row r="186" spans="2:7">
      <c r="B186">
        <v>34</v>
      </c>
      <c r="C186" t="s">
        <v>50</v>
      </c>
      <c r="F186">
        <v>34</v>
      </c>
      <c r="G186" t="s">
        <v>16</v>
      </c>
    </row>
    <row r="187" spans="2:7">
      <c r="B187">
        <v>35</v>
      </c>
      <c r="C187" t="s">
        <v>51</v>
      </c>
      <c r="F187">
        <v>35</v>
      </c>
      <c r="G187" t="s">
        <v>16</v>
      </c>
    </row>
    <row r="188" spans="2:7">
      <c r="B188">
        <v>36</v>
      </c>
      <c r="C188" t="s">
        <v>52</v>
      </c>
      <c r="F188">
        <v>36</v>
      </c>
      <c r="G188" t="s">
        <v>16</v>
      </c>
    </row>
    <row r="189" spans="2:7">
      <c r="B189">
        <v>37</v>
      </c>
      <c r="C189" t="s">
        <v>53</v>
      </c>
      <c r="F189">
        <v>37</v>
      </c>
      <c r="G189" t="s">
        <v>16</v>
      </c>
    </row>
    <row r="190" spans="2:7">
      <c r="B190">
        <v>38</v>
      </c>
      <c r="C190" t="s">
        <v>54</v>
      </c>
      <c r="F190">
        <v>38</v>
      </c>
      <c r="G190" t="s">
        <v>16</v>
      </c>
    </row>
    <row r="191" spans="2:7">
      <c r="B191">
        <v>39</v>
      </c>
      <c r="C191" t="s">
        <v>55</v>
      </c>
      <c r="F191">
        <v>39</v>
      </c>
      <c r="G191" t="s">
        <v>16</v>
      </c>
    </row>
    <row r="192" spans="2:7">
      <c r="B192">
        <v>40</v>
      </c>
      <c r="C192" t="s">
        <v>56</v>
      </c>
      <c r="F192">
        <v>40</v>
      </c>
      <c r="G192" t="s">
        <v>16</v>
      </c>
    </row>
    <row r="193" spans="2:7">
      <c r="B193">
        <v>41</v>
      </c>
      <c r="C193" t="s">
        <v>57</v>
      </c>
      <c r="F193">
        <v>41</v>
      </c>
      <c r="G193" t="s">
        <v>16</v>
      </c>
    </row>
    <row r="194" spans="2:7">
      <c r="B194">
        <v>42</v>
      </c>
      <c r="C194" t="s">
        <v>58</v>
      </c>
      <c r="F194">
        <v>42</v>
      </c>
      <c r="G194" t="s">
        <v>16</v>
      </c>
    </row>
    <row r="195" spans="2:7">
      <c r="B195">
        <v>43</v>
      </c>
      <c r="C195" t="s">
        <v>59</v>
      </c>
      <c r="F195">
        <v>43</v>
      </c>
      <c r="G195" t="s">
        <v>16</v>
      </c>
    </row>
    <row r="196" spans="2:7">
      <c r="B196">
        <v>44</v>
      </c>
      <c r="C196" t="s">
        <v>60</v>
      </c>
      <c r="F196">
        <v>44</v>
      </c>
      <c r="G196" t="s">
        <v>16</v>
      </c>
    </row>
    <row r="197" spans="2:7">
      <c r="B197">
        <v>45</v>
      </c>
      <c r="C197" t="s">
        <v>61</v>
      </c>
      <c r="F197">
        <v>45</v>
      </c>
      <c r="G197" t="s">
        <v>16</v>
      </c>
    </row>
    <row r="198" spans="2:7">
      <c r="B198">
        <v>46</v>
      </c>
      <c r="C198" t="s">
        <v>62</v>
      </c>
      <c r="F198">
        <v>46</v>
      </c>
      <c r="G198" t="s">
        <v>16</v>
      </c>
    </row>
    <row r="199" spans="2:7">
      <c r="B199">
        <v>47</v>
      </c>
      <c r="C199" t="s">
        <v>63</v>
      </c>
      <c r="F199">
        <v>47</v>
      </c>
      <c r="G199" t="s">
        <v>16</v>
      </c>
    </row>
    <row r="200" spans="2:7">
      <c r="B200">
        <v>48</v>
      </c>
      <c r="C200" t="s">
        <v>64</v>
      </c>
      <c r="F200">
        <v>48</v>
      </c>
      <c r="G200" t="s">
        <v>16</v>
      </c>
    </row>
    <row r="201" spans="2:7">
      <c r="B201">
        <v>49</v>
      </c>
      <c r="C201" t="s">
        <v>65</v>
      </c>
      <c r="F201">
        <v>49</v>
      </c>
      <c r="G201" t="s">
        <v>16</v>
      </c>
    </row>
    <row r="202" spans="2:7">
      <c r="B202">
        <v>50</v>
      </c>
      <c r="C202" t="s">
        <v>66</v>
      </c>
      <c r="F202">
        <v>50</v>
      </c>
      <c r="G202" t="s">
        <v>67</v>
      </c>
    </row>
    <row r="203" spans="2:7">
      <c r="B203">
        <v>51</v>
      </c>
      <c r="C203" t="s">
        <v>68</v>
      </c>
      <c r="F203">
        <v>51</v>
      </c>
      <c r="G203" t="s">
        <v>67</v>
      </c>
    </row>
    <row r="204" spans="2:7">
      <c r="B204">
        <v>52</v>
      </c>
      <c r="C204" t="s">
        <v>69</v>
      </c>
      <c r="F204">
        <v>52</v>
      </c>
      <c r="G204" t="s">
        <v>67</v>
      </c>
    </row>
    <row r="205" spans="2:7">
      <c r="B205">
        <v>53</v>
      </c>
      <c r="C205" t="s">
        <v>70</v>
      </c>
      <c r="F205">
        <v>53</v>
      </c>
      <c r="G205" t="s">
        <v>71</v>
      </c>
    </row>
    <row r="206" spans="2:7">
      <c r="B206">
        <v>54</v>
      </c>
      <c r="C206" t="s">
        <v>72</v>
      </c>
      <c r="F206">
        <v>54</v>
      </c>
      <c r="G206" t="s">
        <v>71</v>
      </c>
    </row>
    <row r="207" spans="2:7">
      <c r="B207">
        <v>55</v>
      </c>
      <c r="C207" t="s">
        <v>73</v>
      </c>
      <c r="F207">
        <v>55</v>
      </c>
      <c r="G207" t="s">
        <v>71</v>
      </c>
    </row>
    <row r="208" spans="2:7">
      <c r="B208">
        <v>56</v>
      </c>
      <c r="C208" t="s">
        <v>74</v>
      </c>
      <c r="F208">
        <v>56</v>
      </c>
      <c r="G208" t="s">
        <v>71</v>
      </c>
    </row>
    <row r="209" spans="2:7">
      <c r="B209">
        <v>57</v>
      </c>
      <c r="C209" t="s">
        <v>75</v>
      </c>
      <c r="F209">
        <v>57</v>
      </c>
      <c r="G209" t="s">
        <v>76</v>
      </c>
    </row>
    <row r="210" spans="2:7">
      <c r="B210">
        <v>58</v>
      </c>
      <c r="C210" t="s">
        <v>77</v>
      </c>
      <c r="F210">
        <v>58</v>
      </c>
      <c r="G210" t="s">
        <v>76</v>
      </c>
    </row>
    <row r="211" spans="2:7">
      <c r="B211">
        <v>59</v>
      </c>
      <c r="C211" t="s">
        <v>78</v>
      </c>
      <c r="F211">
        <v>59</v>
      </c>
      <c r="G211" t="s">
        <v>76</v>
      </c>
    </row>
    <row r="212" spans="2:7">
      <c r="B212">
        <v>60</v>
      </c>
      <c r="C212" t="s">
        <v>79</v>
      </c>
      <c r="F212">
        <v>60</v>
      </c>
      <c r="G212" t="s">
        <v>76</v>
      </c>
    </row>
    <row r="213" spans="2:7">
      <c r="B213">
        <v>61</v>
      </c>
      <c r="C213" t="s">
        <v>80</v>
      </c>
      <c r="F213">
        <v>61</v>
      </c>
      <c r="G213" t="s">
        <v>81</v>
      </c>
    </row>
    <row r="214" spans="2:7">
      <c r="B214">
        <v>62</v>
      </c>
      <c r="C214" t="s">
        <v>82</v>
      </c>
      <c r="F214">
        <v>62</v>
      </c>
      <c r="G214" t="s">
        <v>81</v>
      </c>
    </row>
    <row r="215" spans="2:7">
      <c r="B215">
        <v>63</v>
      </c>
      <c r="C215" t="s">
        <v>83</v>
      </c>
      <c r="F215">
        <v>63</v>
      </c>
      <c r="G215" t="s">
        <v>81</v>
      </c>
    </row>
    <row r="216" spans="2:7">
      <c r="B216">
        <v>64</v>
      </c>
      <c r="C216" t="s">
        <v>84</v>
      </c>
      <c r="F216">
        <v>64</v>
      </c>
      <c r="G216" t="s">
        <v>85</v>
      </c>
    </row>
    <row r="217" spans="2:7">
      <c r="B217">
        <v>65</v>
      </c>
      <c r="C217" t="s">
        <v>86</v>
      </c>
      <c r="F217">
        <v>65</v>
      </c>
      <c r="G217" t="s">
        <v>85</v>
      </c>
    </row>
    <row r="218" spans="2:7">
      <c r="B218">
        <v>66</v>
      </c>
      <c r="C218" t="s">
        <v>87</v>
      </c>
      <c r="F218">
        <v>66</v>
      </c>
      <c r="G218" t="s">
        <v>85</v>
      </c>
    </row>
    <row r="219" spans="2:7">
      <c r="B219">
        <v>67</v>
      </c>
      <c r="C219" t="s">
        <v>88</v>
      </c>
      <c r="F219">
        <v>67</v>
      </c>
      <c r="G219" t="s">
        <v>85</v>
      </c>
    </row>
    <row r="220" spans="2:7">
      <c r="B220">
        <v>68</v>
      </c>
      <c r="C220" t="s">
        <v>89</v>
      </c>
      <c r="F220">
        <v>68</v>
      </c>
      <c r="G220" t="s">
        <v>90</v>
      </c>
    </row>
    <row r="221" spans="2:7">
      <c r="B221">
        <v>69</v>
      </c>
      <c r="C221" t="s">
        <v>91</v>
      </c>
      <c r="F221">
        <v>69</v>
      </c>
      <c r="G221" t="s">
        <v>90</v>
      </c>
    </row>
    <row r="222" spans="2:7">
      <c r="B222">
        <v>70</v>
      </c>
      <c r="C222" t="s">
        <v>92</v>
      </c>
      <c r="F222">
        <v>70</v>
      </c>
      <c r="G222" t="s">
        <v>90</v>
      </c>
    </row>
    <row r="223" spans="2:7">
      <c r="B223">
        <v>71</v>
      </c>
      <c r="C223" t="s">
        <v>93</v>
      </c>
      <c r="F223">
        <v>71</v>
      </c>
      <c r="G223" t="s">
        <v>94</v>
      </c>
    </row>
    <row r="224" spans="2:7">
      <c r="B224">
        <v>72</v>
      </c>
      <c r="C224" t="s">
        <v>95</v>
      </c>
      <c r="F224">
        <v>72</v>
      </c>
      <c r="G224" t="s">
        <v>94</v>
      </c>
    </row>
    <row r="225" spans="2:7">
      <c r="B225">
        <v>73</v>
      </c>
      <c r="C225" t="s">
        <v>96</v>
      </c>
      <c r="F225">
        <v>73</v>
      </c>
      <c r="G225" t="s">
        <v>94</v>
      </c>
    </row>
    <row r="226" spans="2:7">
      <c r="B226">
        <v>74</v>
      </c>
      <c r="C226" t="s">
        <v>97</v>
      </c>
      <c r="F226">
        <v>74</v>
      </c>
      <c r="G226" t="s">
        <v>94</v>
      </c>
    </row>
    <row r="227" spans="2:7">
      <c r="B227">
        <v>75</v>
      </c>
      <c r="C227" t="s">
        <v>98</v>
      </c>
      <c r="F227">
        <v>75</v>
      </c>
      <c r="G227" t="s">
        <v>99</v>
      </c>
    </row>
    <row r="228" spans="2:7">
      <c r="B228">
        <v>76</v>
      </c>
      <c r="C228" t="s">
        <v>100</v>
      </c>
      <c r="F228">
        <v>76</v>
      </c>
      <c r="G228" t="s">
        <v>99</v>
      </c>
    </row>
    <row r="229" spans="2:7">
      <c r="B229">
        <v>77</v>
      </c>
      <c r="C229" t="s">
        <v>101</v>
      </c>
      <c r="F229">
        <v>77</v>
      </c>
      <c r="G229" t="s">
        <v>99</v>
      </c>
    </row>
    <row r="230" spans="2:7">
      <c r="B230">
        <v>78</v>
      </c>
      <c r="C230" t="s">
        <v>102</v>
      </c>
      <c r="F230">
        <v>78</v>
      </c>
      <c r="G230" t="s">
        <v>99</v>
      </c>
    </row>
    <row r="231" spans="2:7">
      <c r="B231">
        <v>79</v>
      </c>
      <c r="C231" t="s">
        <v>103</v>
      </c>
      <c r="F231">
        <v>79</v>
      </c>
      <c r="G231" t="s">
        <v>99</v>
      </c>
    </row>
    <row r="232" spans="2:7">
      <c r="B232">
        <v>80</v>
      </c>
      <c r="C232" t="s">
        <v>104</v>
      </c>
      <c r="F232">
        <v>80</v>
      </c>
      <c r="G232" t="s">
        <v>105</v>
      </c>
    </row>
    <row r="233" spans="2:7">
      <c r="B233">
        <v>81</v>
      </c>
      <c r="C233" t="s">
        <v>106</v>
      </c>
      <c r="F233">
        <v>81</v>
      </c>
      <c r="G233" t="s">
        <v>105</v>
      </c>
    </row>
    <row r="234" spans="2:7">
      <c r="B234">
        <v>82</v>
      </c>
      <c r="C234" t="s">
        <v>107</v>
      </c>
      <c r="F234">
        <v>82</v>
      </c>
      <c r="G234" t="s">
        <v>105</v>
      </c>
    </row>
    <row r="235" spans="2:7">
      <c r="B235">
        <v>83</v>
      </c>
      <c r="C235" t="s">
        <v>108</v>
      </c>
      <c r="F235">
        <v>83</v>
      </c>
      <c r="G235" t="s">
        <v>105</v>
      </c>
    </row>
    <row r="236" spans="2:7">
      <c r="B236">
        <v>84</v>
      </c>
      <c r="C236" t="s">
        <v>109</v>
      </c>
      <c r="F236">
        <v>84</v>
      </c>
      <c r="G236" t="s">
        <v>105</v>
      </c>
    </row>
    <row r="237" spans="2:7">
      <c r="B237">
        <v>85</v>
      </c>
      <c r="C237" t="s">
        <v>110</v>
      </c>
      <c r="F237">
        <v>85</v>
      </c>
      <c r="G237" t="s">
        <v>111</v>
      </c>
    </row>
    <row r="238" spans="2:7">
      <c r="B238">
        <v>86</v>
      </c>
      <c r="C238" t="s">
        <v>112</v>
      </c>
      <c r="F238">
        <v>86</v>
      </c>
      <c r="G238" t="s">
        <v>111</v>
      </c>
    </row>
    <row r="239" spans="2:7">
      <c r="B239">
        <v>87</v>
      </c>
      <c r="C239" t="s">
        <v>113</v>
      </c>
      <c r="F239">
        <v>87</v>
      </c>
      <c r="G239" t="s">
        <v>111</v>
      </c>
    </row>
    <row r="240" spans="2:7">
      <c r="B240">
        <v>88</v>
      </c>
      <c r="C240" t="s">
        <v>114</v>
      </c>
      <c r="F240">
        <v>88</v>
      </c>
      <c r="G240" t="s">
        <v>111</v>
      </c>
    </row>
    <row r="241" spans="2:7">
      <c r="B241">
        <v>89</v>
      </c>
      <c r="C241" t="s">
        <v>115</v>
      </c>
      <c r="F241">
        <v>89</v>
      </c>
      <c r="G241" t="s">
        <v>111</v>
      </c>
    </row>
    <row r="242" spans="2:7">
      <c r="B242">
        <v>90</v>
      </c>
      <c r="C242" t="s">
        <v>116</v>
      </c>
      <c r="F242">
        <v>90</v>
      </c>
      <c r="G242" t="s">
        <v>117</v>
      </c>
    </row>
    <row r="243" spans="2:7">
      <c r="B243">
        <v>91</v>
      </c>
      <c r="C243" t="s">
        <v>118</v>
      </c>
      <c r="F243">
        <v>91</v>
      </c>
      <c r="G243" t="s">
        <v>117</v>
      </c>
    </row>
    <row r="244" spans="2:7">
      <c r="B244">
        <v>92</v>
      </c>
      <c r="C244" t="s">
        <v>119</v>
      </c>
      <c r="F244">
        <v>92</v>
      </c>
      <c r="G244" t="s">
        <v>117</v>
      </c>
    </row>
    <row r="245" spans="2:7">
      <c r="B245">
        <v>93</v>
      </c>
      <c r="C245" t="s">
        <v>120</v>
      </c>
      <c r="F245">
        <v>93</v>
      </c>
      <c r="G245" t="s">
        <v>117</v>
      </c>
    </row>
    <row r="246" spans="2:7">
      <c r="B246">
        <v>94</v>
      </c>
      <c r="C246" t="s">
        <v>121</v>
      </c>
      <c r="F246">
        <v>94</v>
      </c>
      <c r="G246" t="s">
        <v>117</v>
      </c>
    </row>
    <row r="247" spans="2:7">
      <c r="B247">
        <v>95</v>
      </c>
      <c r="C247" t="s">
        <v>122</v>
      </c>
      <c r="F247">
        <v>95</v>
      </c>
      <c r="G247" t="s">
        <v>117</v>
      </c>
    </row>
    <row r="248" spans="2:7">
      <c r="B248">
        <v>96</v>
      </c>
      <c r="C248" t="s">
        <v>123</v>
      </c>
      <c r="F248">
        <v>96</v>
      </c>
      <c r="G248" t="s">
        <v>117</v>
      </c>
    </row>
    <row r="249" spans="2:7">
      <c r="B249">
        <v>97</v>
      </c>
      <c r="C249" t="s">
        <v>124</v>
      </c>
      <c r="F249">
        <v>97</v>
      </c>
      <c r="G249" t="s">
        <v>117</v>
      </c>
    </row>
    <row r="250" spans="2:7">
      <c r="B250">
        <v>98</v>
      </c>
      <c r="C250" t="s">
        <v>125</v>
      </c>
      <c r="F250">
        <v>98</v>
      </c>
      <c r="G250" t="s">
        <v>117</v>
      </c>
    </row>
    <row r="251" spans="2:7">
      <c r="B251">
        <v>99</v>
      </c>
      <c r="C251" t="s">
        <v>126</v>
      </c>
      <c r="F251">
        <v>99</v>
      </c>
      <c r="G251" t="s">
        <v>117</v>
      </c>
    </row>
    <row r="252" spans="2:7">
      <c r="B252">
        <v>100</v>
      </c>
      <c r="C252" t="s">
        <v>127</v>
      </c>
      <c r="F252">
        <v>100</v>
      </c>
      <c r="G252" t="s">
        <v>117</v>
      </c>
    </row>
  </sheetData>
  <mergeCells count="12">
    <mergeCell ref="I7:J7"/>
    <mergeCell ref="A1:D1"/>
    <mergeCell ref="F1:K1"/>
    <mergeCell ref="A2:D2"/>
    <mergeCell ref="F2:K2"/>
    <mergeCell ref="A3:D3"/>
    <mergeCell ref="F3:K3"/>
    <mergeCell ref="A4:D4"/>
    <mergeCell ref="E4:K4"/>
    <mergeCell ref="D5:E5"/>
    <mergeCell ref="G5:K5"/>
    <mergeCell ref="H6:J6"/>
  </mergeCells>
  <conditionalFormatting sqref="D8">
    <cfRule type="cellIs" dxfId="5" priority="5" stopIfTrue="1" operator="lessThan">
      <formula>50</formula>
    </cfRule>
  </conditionalFormatting>
  <conditionalFormatting sqref="D13">
    <cfRule type="cellIs" dxfId="4" priority="4" stopIfTrue="1" operator="lessThan">
      <formula>50</formula>
    </cfRule>
  </conditionalFormatting>
  <conditionalFormatting sqref="D15">
    <cfRule type="cellIs" dxfId="3" priority="3" stopIfTrue="1" operator="lessThan">
      <formula>50</formula>
    </cfRule>
  </conditionalFormatting>
  <conditionalFormatting sqref="D31">
    <cfRule type="cellIs" dxfId="2" priority="2" stopIfTrue="1" operator="lessThan">
      <formula>50</formula>
    </cfRule>
  </conditionalFormatting>
  <conditionalFormatting sqref="D35">
    <cfRule type="cellIs" dxfId="1" priority="1" stopIfTrue="1" operator="lessThan">
      <formula>50</formula>
    </cfRule>
  </conditionalFormatting>
  <conditionalFormatting sqref="D37:D48">
    <cfRule type="cellIs" dxfId="0" priority="6" stopIfTrue="1" operator="lessThan">
      <formula>50</formula>
    </cfRule>
  </conditionalFormatting>
  <printOptions horizontalCentered="1"/>
  <pageMargins left="0.55000000000000004" right="0.27" top="1.21" bottom="2.99" header="0.19" footer="2.15"/>
  <pageSetup paperSize="5" orientation="portrait" verticalDpi="180" r:id="rId1"/>
  <headerFooter alignWithMargins="0">
    <oddHeader>&amp;C&amp;"Old English Text MT,Regular"&amp;20University of Karachi
&amp;"Storybook,Bold"&amp;12(SEMESTER EXAMINATION)
&amp;"Times New Roman,Bold"FACULTY OF SCIENCE
(EVENING PROGRAMME)</oddHeader>
    <oddFooter>&amp;L&amp;"Arial,Bold"&amp;UDated: 12- 10- 2022&amp;CSignature of Teacher__________________&amp;RChairman_______________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SE- 358   </vt:lpstr>
      <vt:lpstr>405 Rep (2)</vt:lpstr>
      <vt:lpstr>'405 Rep (2)'!Print_Titles</vt:lpstr>
      <vt:lpstr>'SE- 358   '!Print_Titles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Ahmed Siddiqui</dc:creator>
  <cp:lastModifiedBy>TECHNOSELLERS</cp:lastModifiedBy>
  <cp:revision/>
  <cp:lastPrinted>2023-06-21T07:36:30Z</cp:lastPrinted>
  <dcterms:created xsi:type="dcterms:W3CDTF">2001-07-09T09:12:27Z</dcterms:created>
  <dcterms:modified xsi:type="dcterms:W3CDTF">2026-08-04T02:05:27Z</dcterms:modified>
</cp:coreProperties>
</file>